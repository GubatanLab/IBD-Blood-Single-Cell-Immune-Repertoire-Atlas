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9a0189e702b5dd8/Desktop/IBD PBMC Immune Repertoire Manuscript Figures/Supplementary Data/"/>
    </mc:Choice>
  </mc:AlternateContent>
  <xr:revisionPtr revIDLastSave="0" documentId="8_{C0E9468B-9CFF-474D-B4B2-A09BA9C2A0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Table S1 TCR modules" sheetId="2" r:id="rId2"/>
    <sheet name="TCR genes long" sheetId="3" r:id="rId3"/>
    <sheet name="Table S2 BCR modules" sheetId="4" r:id="rId4"/>
    <sheet name="BCR genes long" sheetId="5" r:id="rId5"/>
    <sheet name="Q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<sst xmlns="http://schemas.openxmlformats.org/spreadsheetml/2006/main" count="1667" uniqueCount="445">
  <si>
    <t>Supplementary gene-module signatures</t>
  </si>
  <si>
    <t>Field</t>
  </si>
  <si>
    <t>Details</t>
  </si>
  <si>
    <t>Purpose</t>
  </si>
  <si>
    <t>Exact TCR and BCR gene signatures used for manuscript module-score analyses.</t>
  </si>
  <si>
    <t>Generated</t>
  </si>
  <si>
    <t>2026-07-10</t>
  </si>
  <si>
    <t>Table S1</t>
  </si>
  <si>
    <t>17 TCR modules; compact module-level table plus one-gene-per-row companion sheet.</t>
  </si>
  <si>
    <t>Table S2</t>
  </si>
  <si>
    <t>19 BCR modules; compact module-level table plus one-gene-per-row companion sheet.</t>
  </si>
  <si>
    <t>TCR source directory</t>
  </si>
  <si>
    <t>C:\Users\johng\OneDrive\Desktop\TCR Module Scores</t>
  </si>
  <si>
    <t>BCR source directory</t>
  </si>
  <si>
    <t>C:\Users\johng\OneDrive\Desktop\BCR Module Scores</t>
  </si>
  <si>
    <t>Scoring note</t>
  </si>
  <si>
    <t>Source scripts calculated module scores from genes present in the normalized RNA expression matrix. Gene order is preserved exactly as specified in the scripts.</t>
  </si>
  <si>
    <t>Supplementary Table S1. TCR gene signatures used for module-score analyses</t>
  </si>
  <si>
    <t>Gene symbols and order reproduce the analysis scripts exactly; module numbering is assigned here for reporting convenience.</t>
  </si>
  <si>
    <t>Module ID</t>
  </si>
  <si>
    <t>Module key</t>
  </si>
  <si>
    <t>Display label</t>
  </si>
  <si>
    <t>Gene count</t>
  </si>
  <si>
    <t>Gene signature</t>
  </si>
  <si>
    <t>T01</t>
  </si>
  <si>
    <t>Naive_central_memory</t>
  </si>
  <si>
    <t>Naive central memory</t>
  </si>
  <si>
    <t>CCR7, SELL, TCF7, LEF1, IL7R, LTB, MAL, NOSIP, SATB1, BACH2, KLF2, S1PR1, CD27, CD28, BCL2</t>
  </si>
  <si>
    <t>T02</t>
  </si>
  <si>
    <t>Recent_TCR_stimulation_immediate_early</t>
  </si>
  <si>
    <t>Recent TCR stimulation immediate early</t>
  </si>
  <si>
    <t>NR4A1, NR4A2, NR4A3, EGR1, EGR2, EGR3, FOS, JUN, JUNB, DUSP1, DUSP2, DUSP4, DUSP5, CD69, IL2RA, NFKBIA, NFKBIZ, REL, IRF4, BATF</t>
  </si>
  <si>
    <t>T03</t>
  </si>
  <si>
    <t>Effector_cytotoxicity</t>
  </si>
  <si>
    <t>Effector cytotoxicity</t>
  </si>
  <si>
    <t>NKG7, GNLY, PRF1, GZMB, GZMA, GZMH, GZMK, GZMM, CTSW, CST7, FGFBP2, CCL5, CCL4, CCL3, IFNG, FASLG, KLRD1, KLRG1</t>
  </si>
  <si>
    <t>T04</t>
  </si>
  <si>
    <t>GZMK_inflammatory_memory_T</t>
  </si>
  <si>
    <t>GZMK inflammatory memory T</t>
  </si>
  <si>
    <t>GZMK, GZMA, CCL5, CCL4, CCL4L2, XCL1, XCL2, NKG7, DUSP2, CRTAM, EOMES, CXCR3, IL7R</t>
  </si>
  <si>
    <t>T05</t>
  </si>
  <si>
    <t>Th1_Tc1_inflammatory</t>
  </si>
  <si>
    <t>Th1 Tc1 inflammatory</t>
  </si>
  <si>
    <t>TBX21, STAT4, CXCR3, IFNG, TNF, IL12RB2, CCL5, CCL4, NKG7, GZMB, PRF1, CXCR6, BHLHE40</t>
  </si>
  <si>
    <t>T06</t>
  </si>
  <si>
    <t>Th17_Tc17_IL23_axis</t>
  </si>
  <si>
    <t>Th17 Tc17 IL23 axis</t>
  </si>
  <si>
    <t>RORC, CCR6, IL23R, IL17A, IL17F, IL22, IL26, KLRB1, AHR, CCL20, IL1R1, IL21, CXCR6, LTB</t>
  </si>
  <si>
    <t>T07</t>
  </si>
  <si>
    <t>Chronic_stimulation_exhaustion_like</t>
  </si>
  <si>
    <t>Chronic stimulation exhaustion like</t>
  </si>
  <si>
    <t>PDCD1, LAG3, HAVCR2, TIGIT, CTLA4, TOX, TOX2, ENTPD1, SLAMF6, TNFRSF9, BATF, EOMES, PRDM1, LAYN, CXCL13</t>
  </si>
  <si>
    <t>T08</t>
  </si>
  <si>
    <t>Tissue_resident_memory_mucosal_retention</t>
  </si>
  <si>
    <t>Tissue resident memory mucosal retention</t>
  </si>
  <si>
    <t>CD69, ITGAE, ITGA1, CXCR6, ZNF683, RUNX3, PRDM1, RGS1, CD101, DUSP6, AHR, CCR6</t>
  </si>
  <si>
    <t>T09</t>
  </si>
  <si>
    <t>EOMES_ZEB2_inflammatory_CD8_TRM_like</t>
  </si>
  <si>
    <t>EOMES ZEB2 inflammatory CD8 TRM like</t>
  </si>
  <si>
    <t>EOMES, ZEB2, GZMB, GZMH, PRF1, NKG7, CX3CR1, KLRG1, TBX21, CCL5, CST7, FGFBP2</t>
  </si>
  <si>
    <t>T10</t>
  </si>
  <si>
    <t>Gut_homing_intestinal_trafficking</t>
  </si>
  <si>
    <t>Gut homing intestinal trafficking</t>
  </si>
  <si>
    <t>ITGA4, ITGB7, ITGAE, CCR9, CCR6, CXCR3, CXCR6, SELPLG, S1PR1, KLF2, SELL, GPR183, CD69</t>
  </si>
  <si>
    <t>T11</t>
  </si>
  <si>
    <t>Tph_Tfh_like_B_cell_help</t>
  </si>
  <si>
    <t>Tph Tfh like B cell help</t>
  </si>
  <si>
    <t>CXCL13, PDCD1, ICOS, MAF, TOX2, IL21, CD40LG, SLAMF6, TIGIT, CD200, CXCR5, BCL6, SH2D1A</t>
  </si>
  <si>
    <t>T12</t>
  </si>
  <si>
    <t>Activated_Treg_suppressive_T_cell</t>
  </si>
  <si>
    <t>Activated Treg suppressive T cell</t>
  </si>
  <si>
    <t>FOXP3, IL2RA, CTLA4, TIGIT, IKZF2, IKZF4, TNFRSF18, TNFRSF4, BATF, CCR8, LAYN, ENTPD1, IL10, AREG</t>
  </si>
  <si>
    <t>T13</t>
  </si>
  <si>
    <t>TNF_NFkB_inflammatory_activation</t>
  </si>
  <si>
    <t>TNF NFkB inflammatory activation</t>
  </si>
  <si>
    <t>TNF, NFKBIA, NFKBIZ, TNFAIP3, REL, RELB, BIRC3, ICOS, CD40LG, CCL3, CCL4, JUNB, DUSP1</t>
  </si>
  <si>
    <t>T14</t>
  </si>
  <si>
    <t>Type_I_II_interferon_response</t>
  </si>
  <si>
    <t>Type I II interferon response</t>
  </si>
  <si>
    <t>IFI6, IFI27, IFI44L, ISG15, MX1, MX2, OAS1, OAS2, OAS3, IFIT1, IFIT2, IFIT3, RSAD2, STAT1, IRF7, ISG20, CXCL10</t>
  </si>
  <si>
    <t>T15</t>
  </si>
  <si>
    <t>MAIT_like_unconventional_T_cell</t>
  </si>
  <si>
    <t>MAIT like unconventional T cell</t>
  </si>
  <si>
    <t>SLC4A10, KLRB1, ZBTB16, RORC, IL18RAP, CCR6, DPP4, CXCR6, IL7R, GZMK, IFNG, NKG7</t>
  </si>
  <si>
    <t>T16</t>
  </si>
  <si>
    <t>Cell_cycle_clonal_proliferation</t>
  </si>
  <si>
    <t>Cell cycle clonal proliferation</t>
  </si>
  <si>
    <t>MKI67, TOP2A, STMN1, TYMS, PCNA, MCM2, MCM3, MCM4, MCM5, MCM6, MCM7, HMGB2, CENPF, UBE2C, PCLAF</t>
  </si>
  <si>
    <t>T17</t>
  </si>
  <si>
    <t>Stress_dissociation_response</t>
  </si>
  <si>
    <t>Stress dissociation response</t>
  </si>
  <si>
    <t>FOS, JUN, JUNB, ATF3, DUSP1, HSPA1A, HSPA1B, HSPH1, DNAJB1, HSP90AA1, PPP1R15A, IER2</t>
  </si>
  <si>
    <t>Gene order</t>
  </si>
  <si>
    <t>Gene symbol</t>
  </si>
  <si>
    <t>CCR7</t>
  </si>
  <si>
    <t>SELL</t>
  </si>
  <si>
    <t>TCF7</t>
  </si>
  <si>
    <t>LEF1</t>
  </si>
  <si>
    <t>IL7R</t>
  </si>
  <si>
    <t>LTB</t>
  </si>
  <si>
    <t>MAL</t>
  </si>
  <si>
    <t>NOSIP</t>
  </si>
  <si>
    <t>SATB1</t>
  </si>
  <si>
    <t>BACH2</t>
  </si>
  <si>
    <t>KLF2</t>
  </si>
  <si>
    <t>S1PR1</t>
  </si>
  <si>
    <t>CD27</t>
  </si>
  <si>
    <t>CD28</t>
  </si>
  <si>
    <t>BCL2</t>
  </si>
  <si>
    <t>NR4A1</t>
  </si>
  <si>
    <t>NR4A2</t>
  </si>
  <si>
    <t>NR4A3</t>
  </si>
  <si>
    <t>EGR1</t>
  </si>
  <si>
    <t>EGR2</t>
  </si>
  <si>
    <t>EGR3</t>
  </si>
  <si>
    <t>FOS</t>
  </si>
  <si>
    <t>JUN</t>
  </si>
  <si>
    <t>JUNB</t>
  </si>
  <si>
    <t>DUSP1</t>
  </si>
  <si>
    <t>DUSP2</t>
  </si>
  <si>
    <t>DUSP4</t>
  </si>
  <si>
    <t>DUSP5</t>
  </si>
  <si>
    <t>CD69</t>
  </si>
  <si>
    <t>IL2RA</t>
  </si>
  <si>
    <t>NFKBIA</t>
  </si>
  <si>
    <t>NFKBIZ</t>
  </si>
  <si>
    <t>REL</t>
  </si>
  <si>
    <t>IRF4</t>
  </si>
  <si>
    <t>BATF</t>
  </si>
  <si>
    <t>NKG7</t>
  </si>
  <si>
    <t>GNLY</t>
  </si>
  <si>
    <t>PRF1</t>
  </si>
  <si>
    <t>GZMB</t>
  </si>
  <si>
    <t>GZMA</t>
  </si>
  <si>
    <t>GZMH</t>
  </si>
  <si>
    <t>GZMK</t>
  </si>
  <si>
    <t>GZMM</t>
  </si>
  <si>
    <t>CTSW</t>
  </si>
  <si>
    <t>CST7</t>
  </si>
  <si>
    <t>FGFBP2</t>
  </si>
  <si>
    <t>CCL5</t>
  </si>
  <si>
    <t>CCL4</t>
  </si>
  <si>
    <t>CCL3</t>
  </si>
  <si>
    <t>IFNG</t>
  </si>
  <si>
    <t>FASLG</t>
  </si>
  <si>
    <t>KLRD1</t>
  </si>
  <si>
    <t>KLRG1</t>
  </si>
  <si>
    <t>CCL4L2</t>
  </si>
  <si>
    <t>XCL1</t>
  </si>
  <si>
    <t>XCL2</t>
  </si>
  <si>
    <t>CRTAM</t>
  </si>
  <si>
    <t>EOMES</t>
  </si>
  <si>
    <t>CXCR3</t>
  </si>
  <si>
    <t>TBX21</t>
  </si>
  <si>
    <t>STAT4</t>
  </si>
  <si>
    <t>TNF</t>
  </si>
  <si>
    <t>IL12RB2</t>
  </si>
  <si>
    <t>CXCR6</t>
  </si>
  <si>
    <t>BHLHE40</t>
  </si>
  <si>
    <t>RORC</t>
  </si>
  <si>
    <t>CCR6</t>
  </si>
  <si>
    <t>IL23R</t>
  </si>
  <si>
    <t>IL17A</t>
  </si>
  <si>
    <t>IL17F</t>
  </si>
  <si>
    <t>IL22</t>
  </si>
  <si>
    <t>IL26</t>
  </si>
  <si>
    <t>KLRB1</t>
  </si>
  <si>
    <t>AHR</t>
  </si>
  <si>
    <t>CCL20</t>
  </si>
  <si>
    <t>IL1R1</t>
  </si>
  <si>
    <t>IL21</t>
  </si>
  <si>
    <t>PDCD1</t>
  </si>
  <si>
    <t>LAG3</t>
  </si>
  <si>
    <t>HAVCR2</t>
  </si>
  <si>
    <t>TIGIT</t>
  </si>
  <si>
    <t>CTLA4</t>
  </si>
  <si>
    <t>TOX</t>
  </si>
  <si>
    <t>TOX2</t>
  </si>
  <si>
    <t>ENTPD1</t>
  </si>
  <si>
    <t>SLAMF6</t>
  </si>
  <si>
    <t>TNFRSF9</t>
  </si>
  <si>
    <t>PRDM1</t>
  </si>
  <si>
    <t>LAYN</t>
  </si>
  <si>
    <t>CXCL13</t>
  </si>
  <si>
    <t>ITGAE</t>
  </si>
  <si>
    <t>ITGA1</t>
  </si>
  <si>
    <t>ZNF683</t>
  </si>
  <si>
    <t>RUNX3</t>
  </si>
  <si>
    <t>RGS1</t>
  </si>
  <si>
    <t>CD101</t>
  </si>
  <si>
    <t>DUSP6</t>
  </si>
  <si>
    <t>ZEB2</t>
  </si>
  <si>
    <t>CX3CR1</t>
  </si>
  <si>
    <t>ITGA4</t>
  </si>
  <si>
    <t>ITGB7</t>
  </si>
  <si>
    <t>CCR9</t>
  </si>
  <si>
    <t>SELPLG</t>
  </si>
  <si>
    <t>GPR183</t>
  </si>
  <si>
    <t>ICOS</t>
  </si>
  <si>
    <t>MAF</t>
  </si>
  <si>
    <t>CD40LG</t>
  </si>
  <si>
    <t>CD200</t>
  </si>
  <si>
    <t>CXCR5</t>
  </si>
  <si>
    <t>BCL6</t>
  </si>
  <si>
    <t>SH2D1A</t>
  </si>
  <si>
    <t>FOXP3</t>
  </si>
  <si>
    <t>IKZF2</t>
  </si>
  <si>
    <t>IKZF4</t>
  </si>
  <si>
    <t>TNFRSF18</t>
  </si>
  <si>
    <t>TNFRSF4</t>
  </si>
  <si>
    <t>CCR8</t>
  </si>
  <si>
    <t>IL10</t>
  </si>
  <si>
    <t>AREG</t>
  </si>
  <si>
    <t>TNFAIP3</t>
  </si>
  <si>
    <t>RELB</t>
  </si>
  <si>
    <t>BIRC3</t>
  </si>
  <si>
    <t>IFI6</t>
  </si>
  <si>
    <t>IFI27</t>
  </si>
  <si>
    <t>IFI44L</t>
  </si>
  <si>
    <t>ISG15</t>
  </si>
  <si>
    <t>MX1</t>
  </si>
  <si>
    <t>MX2</t>
  </si>
  <si>
    <t>OAS1</t>
  </si>
  <si>
    <t>OAS2</t>
  </si>
  <si>
    <t>OAS3</t>
  </si>
  <si>
    <t>IFIT1</t>
  </si>
  <si>
    <t>IFIT2</t>
  </si>
  <si>
    <t>IFIT3</t>
  </si>
  <si>
    <t>RSAD2</t>
  </si>
  <si>
    <t>STAT1</t>
  </si>
  <si>
    <t>IRF7</t>
  </si>
  <si>
    <t>ISG20</t>
  </si>
  <si>
    <t>CXCL10</t>
  </si>
  <si>
    <t>SLC4A10</t>
  </si>
  <si>
    <t>ZBTB16</t>
  </si>
  <si>
    <t>IL18RAP</t>
  </si>
  <si>
    <t>DPP4</t>
  </si>
  <si>
    <t>MKI67</t>
  </si>
  <si>
    <t>TOP2A</t>
  </si>
  <si>
    <t>STMN1</t>
  </si>
  <si>
    <t>TYMS</t>
  </si>
  <si>
    <t>PCNA</t>
  </si>
  <si>
    <t>MCM2</t>
  </si>
  <si>
    <t>MCM3</t>
  </si>
  <si>
    <t>MCM4</t>
  </si>
  <si>
    <t>MCM5</t>
  </si>
  <si>
    <t>MCM6</t>
  </si>
  <si>
    <t>MCM7</t>
  </si>
  <si>
    <t>HMGB2</t>
  </si>
  <si>
    <t>CENPF</t>
  </si>
  <si>
    <t>UBE2C</t>
  </si>
  <si>
    <t>PCLAF</t>
  </si>
  <si>
    <t>ATF3</t>
  </si>
  <si>
    <t>HSPA1A</t>
  </si>
  <si>
    <t>HSPA1B</t>
  </si>
  <si>
    <t>HSPH1</t>
  </si>
  <si>
    <t>DNAJB1</t>
  </si>
  <si>
    <t>HSP90AA1</t>
  </si>
  <si>
    <t>PPP1R15A</t>
  </si>
  <si>
    <t>IER2</t>
  </si>
  <si>
    <t>Supplementary Table S2. BCR gene signatures used for module-score analyses</t>
  </si>
  <si>
    <t>B01</t>
  </si>
  <si>
    <t>resting_naive_B_cell</t>
  </si>
  <si>
    <t>Resting naive B cell</t>
  </si>
  <si>
    <t>IGHD, IGHM, TCL1A, IL4R, FCER2, CD72, BACH2, CCR7, SELL, CD22, MS4A1, CD79A, CD79B, BANK1, BCL2</t>
  </si>
  <si>
    <t>B02</t>
  </si>
  <si>
    <t>resting_memory_B_cell</t>
  </si>
  <si>
    <t>Resting memory B cell</t>
  </si>
  <si>
    <t>CD27, TNFRSF13B, AIM2, GPR183, CD80, CD86, BANK1, MS4A1, CD79A, CD37, HLA-DRA, HLA-DPA1</t>
  </si>
  <si>
    <t>B03</t>
  </si>
  <si>
    <t>atypical_memory_CD11c_age_associated_like_B_cell</t>
  </si>
  <si>
    <t>Atypical memory CD11c age associated like B cell</t>
  </si>
  <si>
    <t>FCRL5, FCRL4, ITGAX, TBX21, ZEB2, CXCR3, DUSP4, LYN, HOPX, TLR7, TLR9, FCGR2B, CD86, CD80</t>
  </si>
  <si>
    <t>B04</t>
  </si>
  <si>
    <t>germinal_center_like_affinity_maturation</t>
  </si>
  <si>
    <t>Germinal center like affinity maturation</t>
  </si>
  <si>
    <t>AICDA, BCL6, RGS13, S1PR2, MME, CD38, FAS, MEF2B, LMO2, MKI67, BIRC5, STMN1</t>
  </si>
  <si>
    <t>B05</t>
  </si>
  <si>
    <t>plasmablast_plasma_cell_differentiation</t>
  </si>
  <si>
    <t>Plasmablast plasma cell differentiation</t>
  </si>
  <si>
    <t>PRDM1, XBP1, IRF4, MZB1, SDC1, JCHAIN, SSR4, FKBP11, DERL3, TNFRSF17, SLAMF7, CD38, CD27, SEC11C</t>
  </si>
  <si>
    <t>B06</t>
  </si>
  <si>
    <t>antibody_secretion_UPR</t>
  </si>
  <si>
    <t>Antibody secretion UPR</t>
  </si>
  <si>
    <t>XBP1, HSPA5, HSP90B1, HERPUD1, ATF4, ATF6, DDIT3, SEL1L, DNAJB9, PPIB, CALR, ERP44, DERL3, SEC61A1, SSR4</t>
  </si>
  <si>
    <t>B07</t>
  </si>
  <si>
    <t>IgA_mucosal_plasma_cell</t>
  </si>
  <si>
    <t>IgA mucosal plasma cell</t>
  </si>
  <si>
    <t>IGHA1, IGHA2, JCHAIN, MZB1, XBP1, SDC1, TNFRSF17, CCR10, PRDM1, IRF4</t>
  </si>
  <si>
    <t>B08</t>
  </si>
  <si>
    <t>IgG_inflammatory_plasma_cell</t>
  </si>
  <si>
    <t>IgG inflammatory plasma cell</t>
  </si>
  <si>
    <t>IGHG1, IGHG2, IGHG3, IGHG4, JCHAIN, MZB1, XBP1, SDC1, PRDM1, IRF4, CXCR4</t>
  </si>
  <si>
    <t>B09</t>
  </si>
  <si>
    <t>IgM_IgD_unswitched_B_cell</t>
  </si>
  <si>
    <t>IgM IgD unswitched B cell</t>
  </si>
  <si>
    <t>IGHM, IGHD, TCL1A, FCER2, CD72, CCR7, SELL, BACH2, MS4A1, CD79A, CD79B</t>
  </si>
  <si>
    <t>B10</t>
  </si>
  <si>
    <t>IFN_imprinted_B_cell</t>
  </si>
  <si>
    <t>IFN imprinted B cell</t>
  </si>
  <si>
    <t>IFI6, IFI27, IFI44L, ISG15, MX1, MX2, IFIT1, IFIT2, IFIT3, OAS1, OAS2, OAS3, IRF7, STAT1, CXCL10, ISG20</t>
  </si>
  <si>
    <t>B11</t>
  </si>
  <si>
    <t>B_cell_antigen_presentation</t>
  </si>
  <si>
    <t>B cell antigen presentation</t>
  </si>
  <si>
    <t>HLA-DRA, HLA-DRB1, HLA-DPA1, HLA-DPB1, HLA-DQA1, HLA-DQB1, CD74, CIITA, HLA-DMA, HLA-DMB, CD86, CD80, CD40</t>
  </si>
  <si>
    <t>B12</t>
  </si>
  <si>
    <t>BCR_NFkB_activation</t>
  </si>
  <si>
    <t>BCR NFkB activation</t>
  </si>
  <si>
    <t>CD69, NR4A1, NR4A2, DUSP2, DUSP4, FOS, JUNB, NFKBIA, NFKBIZ, TNFAIP3, REL, BCL2A1, CD83, CD86, IRF4</t>
  </si>
  <si>
    <t>B13</t>
  </si>
  <si>
    <t>TLR_innate_inflammatory_B_cell</t>
  </si>
  <si>
    <t>TLR innate inflammatory B cell</t>
  </si>
  <si>
    <t>TLR7, TLR9, MYD88, IRF5, NFKBIA, NFKBIZ, REL, TNFAIP3, CD69, JUNB, FOS, DUSP1, CCL3, CCL4</t>
  </si>
  <si>
    <t>B14</t>
  </si>
  <si>
    <t>B_cell_costimulation_T_cell_interaction</t>
  </si>
  <si>
    <t>B cell costimulation T cell interaction</t>
  </si>
  <si>
    <t>CD40, CD80, CD86, ICOSLG, HLA-DRA, HLA-DRB1, CD74, LTA, LTB, TNFRSF13B, TNFRSF13C</t>
  </si>
  <si>
    <t>B15</t>
  </si>
  <si>
    <t>BAFF_APRIL_survival_response</t>
  </si>
  <si>
    <t>BAFF APRIL survival response</t>
  </si>
  <si>
    <t>TNFRSF13B, TNFRSF17, TNFRSF13C, BCL2, MCL1, BCL2A1, CD40, IL6R, JCHAIN, XBP1, MZB1</t>
  </si>
  <si>
    <t>B16</t>
  </si>
  <si>
    <t>mucosal_trafficking_retention_B_cell</t>
  </si>
  <si>
    <t>Mucosal trafficking retention B cell</t>
  </si>
  <si>
    <t>CXCR4, CXCR5, CCR6, CCR7, CCR10, ITGA4, ITGB7, SELL, S1PR1, S1PR2, GPR183, CD69</t>
  </si>
  <si>
    <t>B17</t>
  </si>
  <si>
    <t>regulatory_B_cell_IL10_like</t>
  </si>
  <si>
    <t>Regulatory B cell IL10 like</t>
  </si>
  <si>
    <t>IL10, CD1D, CD24, CR2, CD38, CD40, TGFB1, EBI3, PRDM1, LILRB1, FCRL4</t>
  </si>
  <si>
    <t>B18</t>
  </si>
  <si>
    <t>plasma_cell_inflammatory_antigen_presentation_UPR</t>
  </si>
  <si>
    <t>Plasma cell inflammatory antigen presentation UPR</t>
  </si>
  <si>
    <t>XBP1, MZB1, SDC1, JCHAIN, DERL3, HSPA5, HSP90B1, HLA-DRA, HLA-DRB1, HLA-DPA1, HLA-DPB1, CD74, CXCR4, IGHG1</t>
  </si>
  <si>
    <t>B19</t>
  </si>
  <si>
    <t>cell_cycle_proliferating_B_cell</t>
  </si>
  <si>
    <t>Cell cycle proliferating B cell</t>
  </si>
  <si>
    <t>IGHD</t>
  </si>
  <si>
    <t>IGHM</t>
  </si>
  <si>
    <t>TCL1A</t>
  </si>
  <si>
    <t>IL4R</t>
  </si>
  <si>
    <t>FCER2</t>
  </si>
  <si>
    <t>CD72</t>
  </si>
  <si>
    <t>CD22</t>
  </si>
  <si>
    <t>MS4A1</t>
  </si>
  <si>
    <t>CD79A</t>
  </si>
  <si>
    <t>CD79B</t>
  </si>
  <si>
    <t>BANK1</t>
  </si>
  <si>
    <t>TNFRSF13B</t>
  </si>
  <si>
    <t>AIM2</t>
  </si>
  <si>
    <t>CD80</t>
  </si>
  <si>
    <t>CD86</t>
  </si>
  <si>
    <t>CD37</t>
  </si>
  <si>
    <t>HLA-DRA</t>
  </si>
  <si>
    <t>HLA-DPA1</t>
  </si>
  <si>
    <t>FCRL5</t>
  </si>
  <si>
    <t>FCRL4</t>
  </si>
  <si>
    <t>ITGAX</t>
  </si>
  <si>
    <t>LYN</t>
  </si>
  <si>
    <t>HOPX</t>
  </si>
  <si>
    <t>TLR7</t>
  </si>
  <si>
    <t>TLR9</t>
  </si>
  <si>
    <t>FCGR2B</t>
  </si>
  <si>
    <t>AICDA</t>
  </si>
  <si>
    <t>RGS13</t>
  </si>
  <si>
    <t>S1PR2</t>
  </si>
  <si>
    <t>MME</t>
  </si>
  <si>
    <t>CD38</t>
  </si>
  <si>
    <t>FAS</t>
  </si>
  <si>
    <t>MEF2B</t>
  </si>
  <si>
    <t>LMO2</t>
  </si>
  <si>
    <t>BIRC5</t>
  </si>
  <si>
    <t>XBP1</t>
  </si>
  <si>
    <t>MZB1</t>
  </si>
  <si>
    <t>SDC1</t>
  </si>
  <si>
    <t>JCHAIN</t>
  </si>
  <si>
    <t>SSR4</t>
  </si>
  <si>
    <t>FKBP11</t>
  </si>
  <si>
    <t>DERL3</t>
  </si>
  <si>
    <t>TNFRSF17</t>
  </si>
  <si>
    <t>SLAMF7</t>
  </si>
  <si>
    <t>SEC11C</t>
  </si>
  <si>
    <t>HSPA5</t>
  </si>
  <si>
    <t>HSP90B1</t>
  </si>
  <si>
    <t>HERPUD1</t>
  </si>
  <si>
    <t>ATF4</t>
  </si>
  <si>
    <t>ATF6</t>
  </si>
  <si>
    <t>DDIT3</t>
  </si>
  <si>
    <t>SEL1L</t>
  </si>
  <si>
    <t>DNAJB9</t>
  </si>
  <si>
    <t>PPIB</t>
  </si>
  <si>
    <t>CALR</t>
  </si>
  <si>
    <t>ERP44</t>
  </si>
  <si>
    <t>SEC61A1</t>
  </si>
  <si>
    <t>IGHA1</t>
  </si>
  <si>
    <t>IGHA2</t>
  </si>
  <si>
    <t>CCR10</t>
  </si>
  <si>
    <t>IGHG1</t>
  </si>
  <si>
    <t>IGHG2</t>
  </si>
  <si>
    <t>IGHG3</t>
  </si>
  <si>
    <t>IGHG4</t>
  </si>
  <si>
    <t>CXCR4</t>
  </si>
  <si>
    <t>HLA-DRB1</t>
  </si>
  <si>
    <t>HLA-DPB1</t>
  </si>
  <si>
    <t>HLA-DQA1</t>
  </si>
  <si>
    <t>HLA-DQB1</t>
  </si>
  <si>
    <t>CD74</t>
  </si>
  <si>
    <t>CIITA</t>
  </si>
  <si>
    <t>HLA-DMA</t>
  </si>
  <si>
    <t>HLA-DMB</t>
  </si>
  <si>
    <t>CD40</t>
  </si>
  <si>
    <t>BCL2A1</t>
  </si>
  <si>
    <t>CD83</t>
  </si>
  <si>
    <t>MYD88</t>
  </si>
  <si>
    <t>IRF5</t>
  </si>
  <si>
    <t>ICOSLG</t>
  </si>
  <si>
    <t>LTA</t>
  </si>
  <si>
    <t>TNFRSF13C</t>
  </si>
  <si>
    <t>MCL1</t>
  </si>
  <si>
    <t>IL6R</t>
  </si>
  <si>
    <t>CD1D</t>
  </si>
  <si>
    <t>CD24</t>
  </si>
  <si>
    <t>CR2</t>
  </si>
  <si>
    <t>TGFB1</t>
  </si>
  <si>
    <t>EBI3</t>
  </si>
  <si>
    <t>LILRB1</t>
  </si>
  <si>
    <t>Extraction and consistency checks</t>
  </si>
  <si>
    <t>Check</t>
  </si>
  <si>
    <t>TCR</t>
  </si>
  <si>
    <t>BCR</t>
  </si>
  <si>
    <t>Interpretation</t>
  </si>
  <si>
    <t>Module definitions match duplicate scripts</t>
  </si>
  <si>
    <t>PASS</t>
  </si>
  <si>
    <t>Primary and secondary analysis scripts contain identical ordered signatures.</t>
  </si>
  <si>
    <t>Module count</t>
  </si>
  <si>
    <t>Number of named signatures.</t>
  </si>
  <si>
    <t>Gene-membership rows</t>
  </si>
  <si>
    <t>Total module–gene associations; genes shared across modules are counted repeatedly.</t>
  </si>
  <si>
    <t>Unique genes</t>
  </si>
  <si>
    <t>Distinct HGNC-style symbols across all signatures in each compartment.</t>
  </si>
  <si>
    <t>Within-module duplicate genes</t>
  </si>
  <si>
    <t>Expected value: 0.</t>
  </si>
  <si>
    <t>Source parser status</t>
  </si>
  <si>
    <t>All named list entries and quoted gene symbols were parsed.</t>
  </si>
  <si>
    <t>Workbook formula check</t>
  </si>
  <si>
    <t>Gene counts in Tables S1 and S2 are formula-derived from the long-format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</si>
</sst>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i/>
      <sz val="11"/>
      <color rgb="FF404040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DDEBF0"/>
      </patternFill>
    </fill>
    <fill>
      <patternFill patternType="solid">
        <fgColor rgb="FF7A3E65"/>
      </patternFill>
    </fill>
    <fill>
      <patternFill patternType="solid">
        <fgColor rgb="FFF1E3EC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8" xfId="0" applyBorder="1" applyAlignment="1">
      <alignment vertical="top"/>
    </xf>
    <xf numFmtId="0" fontId="0" fillId="0" borderId="8" xfId="0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horizontal="center" vertical="top"/>
    </xf>
    <xf numFmtId="0" fontId="0" fillId="0" borderId="6" xfId="0" applyBorder="1" applyAlignment="1">
      <alignment vertical="top" wrapText="1"/>
    </xf>
    <xf numFmtId="0" fontId="4" fillId="6" borderId="1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2" fillId="3" borderId="7" xfId="0" applyFont="1" applyFill="1" applyBorder="1"/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5" borderId="0" xfId="0" applyFont="1" applyFill="1" applyAlignment="1">
      <alignment wrapText="1"/>
    </xf>
    <xf numFmtId="0" fontId="1" fillId="6" borderId="0" xfId="0" applyFont="1" applyFill="1" applyAlignment="1">
      <alignment vertical="center"/>
    </xf>
    <xf numFmtId="0" fontId="3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RModuleSummary" displayName="TCRModuleSummary" ref="A3:E20" totalsRowShown="0">
  <tableColumns count="5">
    <tableColumn id="1" xr3:uid="{00000000-0010-0000-0000-000001000000}" name="Module ID"/>
    <tableColumn id="2" xr3:uid="{00000000-0010-0000-0000-000002000000}" name="Module key"/>
    <tableColumn id="3" xr3:uid="{00000000-0010-0000-0000-000003000000}" name="Display label"/>
    <tableColumn id="4" xr3:uid="{00000000-0010-0000-0000-000004000000}" name="Gene count"/>
    <tableColumn id="5" xr3:uid="{00000000-0010-0000-0000-000005000000}" name="Gene signa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CRGeneMembership" displayName="TCRGeneMembership" ref="A1:D242" totalsRowShown="0">
  <tableColumns count="4">
    <tableColumn id="1" xr3:uid="{00000000-0010-0000-0100-000001000000}" name="Module ID"/>
    <tableColumn id="2" xr3:uid="{00000000-0010-0000-0100-000002000000}" name="Module key"/>
    <tableColumn id="3" xr3:uid="{00000000-0010-0000-0100-000003000000}" name="Gene order"/>
    <tableColumn id="4" xr3:uid="{00000000-0010-0000-0100-000004000000}" name="Gene symb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CRModuleSummary" displayName="BCRModuleSummary" ref="A3:E22" totalsRowShown="0">
  <tableColumns count="5">
    <tableColumn id="1" xr3:uid="{00000000-0010-0000-0200-000001000000}" name="Module ID"/>
    <tableColumn id="2" xr3:uid="{00000000-0010-0000-0200-000002000000}" name="Module key"/>
    <tableColumn id="3" xr3:uid="{00000000-0010-0000-0200-000003000000}" name="Display label"/>
    <tableColumn id="4" xr3:uid="{00000000-0010-0000-0200-000004000000}" name="Gene count"/>
    <tableColumn id="5" xr3:uid="{00000000-0010-0000-0200-000005000000}" name="Gene signatur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CRGeneMembership" displayName="BCRGeneMembership" ref="A1:D247" totalsRowShown="0">
  <tableColumns count="4">
    <tableColumn id="1" xr3:uid="{00000000-0010-0000-0300-000001000000}" name="Module ID"/>
    <tableColumn id="2" xr3:uid="{00000000-0010-0000-0300-000002000000}" name="Module key"/>
    <tableColumn id="3" xr3:uid="{00000000-0010-0000-0300-000003000000}" name="Gene order"/>
    <tableColumn id="4" xr3:uid="{00000000-0010-0000-0300-000004000000}" name="Gene symbo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selection sqref="A1:B1"/>
    </sheetView>
  </sheetViews>
  <sheetFormatPr defaultRowHeight="13.8"/>
  <cols>
    <col min="1" max="1" width="24" customWidth="1"/>
    <col min="2" max="2" width="96" customWidth="1"/>
  </cols>
  <sheetData>
    <row r="1" spans="1:2" ht="28.05" customHeight="1">
      <c r="A1" s="30" t="s">
        <v>0</v>
      </c>
      <c r="B1" s="30"/>
    </row>
    <row r="3" spans="1:2">
      <c r="A3" s="1" t="s">
        <v>1</v>
      </c>
      <c r="B3" s="2" t="s">
        <v>2</v>
      </c>
    </row>
    <row r="4" spans="1:2">
      <c r="A4" s="3" t="s">
        <v>3</v>
      </c>
      <c r="B4" s="7" t="s">
        <v>4</v>
      </c>
    </row>
    <row r="5" spans="1:2">
      <c r="A5" s="3" t="s">
        <v>5</v>
      </c>
      <c r="B5" s="7" t="s">
        <v>6</v>
      </c>
    </row>
    <row r="6" spans="1:2">
      <c r="A6" s="3" t="s">
        <v>7</v>
      </c>
      <c r="B6" s="7" t="s">
        <v>8</v>
      </c>
    </row>
    <row r="7" spans="1:2">
      <c r="A7" s="3" t="s">
        <v>9</v>
      </c>
      <c r="B7" s="7" t="s">
        <v>10</v>
      </c>
    </row>
    <row r="8" spans="1:2">
      <c r="A8" s="3" t="s">
        <v>11</v>
      </c>
      <c r="B8" s="7" t="s">
        <v>12</v>
      </c>
    </row>
    <row r="9" spans="1:2">
      <c r="A9" s="3" t="s">
        <v>13</v>
      </c>
      <c r="B9" s="7" t="s">
        <v>14</v>
      </c>
    </row>
    <row r="10" spans="1:2" ht="27.6">
      <c r="A10" s="5" t="s">
        <v>15</v>
      </c>
      <c r="B10" s="8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zoomScale="80" zoomScaleNormal="80" workbookViewId="0">
      <selection sqref="A1:E1"/>
    </sheetView>
  </sheetViews>
  <sheetFormatPr defaultRowHeight="13.8"/>
  <cols>
    <col min="1" max="1" width="12" customWidth="1"/>
    <col min="2" max="3" width="48" customWidth="1"/>
    <col min="4" max="4" width="12" customWidth="1"/>
    <col min="5" max="5" width="95" customWidth="1"/>
  </cols>
  <sheetData>
    <row r="1" spans="1:5" ht="28.05" customHeight="1">
      <c r="A1" s="31" t="s">
        <v>17</v>
      </c>
      <c r="B1" s="31"/>
      <c r="C1" s="31"/>
      <c r="D1" s="31"/>
      <c r="E1" s="31"/>
    </row>
    <row r="2" spans="1:5" ht="30" customHeight="1">
      <c r="A2" s="32" t="s">
        <v>18</v>
      </c>
      <c r="B2" s="32"/>
      <c r="C2" s="32"/>
      <c r="D2" s="32"/>
      <c r="E2" s="32"/>
    </row>
    <row r="3" spans="1:5" ht="28.05" customHeight="1">
      <c r="A3" s="9" t="s">
        <v>19</v>
      </c>
      <c r="B3" s="10" t="s">
        <v>20</v>
      </c>
      <c r="C3" s="10" t="s">
        <v>21</v>
      </c>
      <c r="D3" s="10" t="s">
        <v>22</v>
      </c>
      <c r="E3" s="11" t="s">
        <v>23</v>
      </c>
    </row>
    <row r="4" spans="1:5" ht="43.95" customHeight="1">
      <c r="A4" s="18" t="s">
        <v>24</v>
      </c>
      <c r="B4" s="19" t="s">
        <v>25</v>
      </c>
      <c r="C4" s="19" t="s">
        <v>26</v>
      </c>
      <c r="D4" s="20">
        <f>COUNTIF('TCR genes long'!$B$2:$B$242,B4)</f>
        <v>15</v>
      </c>
      <c r="E4" s="21" t="s">
        <v>27</v>
      </c>
    </row>
    <row r="5" spans="1:5" ht="43.95" customHeight="1">
      <c r="A5" s="18" t="s">
        <v>28</v>
      </c>
      <c r="B5" s="19" t="s">
        <v>29</v>
      </c>
      <c r="C5" s="19" t="s">
        <v>30</v>
      </c>
      <c r="D5" s="20">
        <f>COUNTIF('TCR genes long'!$B$2:$B$242,B5)</f>
        <v>20</v>
      </c>
      <c r="E5" s="21" t="s">
        <v>31</v>
      </c>
    </row>
    <row r="6" spans="1:5" ht="43.95" customHeight="1">
      <c r="A6" s="18" t="s">
        <v>32</v>
      </c>
      <c r="B6" s="19" t="s">
        <v>33</v>
      </c>
      <c r="C6" s="19" t="s">
        <v>34</v>
      </c>
      <c r="D6" s="20">
        <f>COUNTIF('TCR genes long'!$B$2:$B$242,B6)</f>
        <v>18</v>
      </c>
      <c r="E6" s="21" t="s">
        <v>35</v>
      </c>
    </row>
    <row r="7" spans="1:5" ht="43.95" customHeight="1">
      <c r="A7" s="18" t="s">
        <v>36</v>
      </c>
      <c r="B7" s="19" t="s">
        <v>37</v>
      </c>
      <c r="C7" s="19" t="s">
        <v>38</v>
      </c>
      <c r="D7" s="20">
        <f>COUNTIF('TCR genes long'!$B$2:$B$242,B7)</f>
        <v>13</v>
      </c>
      <c r="E7" s="21" t="s">
        <v>39</v>
      </c>
    </row>
    <row r="8" spans="1:5" ht="43.95" customHeight="1">
      <c r="A8" s="18" t="s">
        <v>40</v>
      </c>
      <c r="B8" s="19" t="s">
        <v>41</v>
      </c>
      <c r="C8" s="19" t="s">
        <v>42</v>
      </c>
      <c r="D8" s="20">
        <f>COUNTIF('TCR genes long'!$B$2:$B$242,B8)</f>
        <v>13</v>
      </c>
      <c r="E8" s="21" t="s">
        <v>43</v>
      </c>
    </row>
    <row r="9" spans="1:5" ht="43.95" customHeight="1">
      <c r="A9" s="18" t="s">
        <v>44</v>
      </c>
      <c r="B9" s="19" t="s">
        <v>45</v>
      </c>
      <c r="C9" s="19" t="s">
        <v>46</v>
      </c>
      <c r="D9" s="20">
        <f>COUNTIF('TCR genes long'!$B$2:$B$242,B9)</f>
        <v>14</v>
      </c>
      <c r="E9" s="21" t="s">
        <v>47</v>
      </c>
    </row>
    <row r="10" spans="1:5" ht="43.95" customHeight="1">
      <c r="A10" s="18" t="s">
        <v>48</v>
      </c>
      <c r="B10" s="19" t="s">
        <v>49</v>
      </c>
      <c r="C10" s="19" t="s">
        <v>50</v>
      </c>
      <c r="D10" s="20">
        <f>COUNTIF('TCR genes long'!$B$2:$B$242,B10)</f>
        <v>15</v>
      </c>
      <c r="E10" s="21" t="s">
        <v>51</v>
      </c>
    </row>
    <row r="11" spans="1:5" ht="43.95" customHeight="1">
      <c r="A11" s="18" t="s">
        <v>52</v>
      </c>
      <c r="B11" s="19" t="s">
        <v>53</v>
      </c>
      <c r="C11" s="19" t="s">
        <v>54</v>
      </c>
      <c r="D11" s="20">
        <f>COUNTIF('TCR genes long'!$B$2:$B$242,B11)</f>
        <v>12</v>
      </c>
      <c r="E11" s="21" t="s">
        <v>55</v>
      </c>
    </row>
    <row r="12" spans="1:5" ht="43.95" customHeight="1">
      <c r="A12" s="18" t="s">
        <v>56</v>
      </c>
      <c r="B12" s="19" t="s">
        <v>57</v>
      </c>
      <c r="C12" s="19" t="s">
        <v>58</v>
      </c>
      <c r="D12" s="20">
        <f>COUNTIF('TCR genes long'!$B$2:$B$242,B12)</f>
        <v>12</v>
      </c>
      <c r="E12" s="21" t="s">
        <v>59</v>
      </c>
    </row>
    <row r="13" spans="1:5" ht="43.95" customHeight="1">
      <c r="A13" s="18" t="s">
        <v>60</v>
      </c>
      <c r="B13" s="19" t="s">
        <v>61</v>
      </c>
      <c r="C13" s="19" t="s">
        <v>62</v>
      </c>
      <c r="D13" s="20">
        <f>COUNTIF('TCR genes long'!$B$2:$B$242,B13)</f>
        <v>13</v>
      </c>
      <c r="E13" s="21" t="s">
        <v>63</v>
      </c>
    </row>
    <row r="14" spans="1:5" ht="43.95" customHeight="1">
      <c r="A14" s="18" t="s">
        <v>64</v>
      </c>
      <c r="B14" s="19" t="s">
        <v>65</v>
      </c>
      <c r="C14" s="19" t="s">
        <v>66</v>
      </c>
      <c r="D14" s="20">
        <f>COUNTIF('TCR genes long'!$B$2:$B$242,B14)</f>
        <v>13</v>
      </c>
      <c r="E14" s="21" t="s">
        <v>67</v>
      </c>
    </row>
    <row r="15" spans="1:5" ht="43.95" customHeight="1">
      <c r="A15" s="18" t="s">
        <v>68</v>
      </c>
      <c r="B15" s="19" t="s">
        <v>69</v>
      </c>
      <c r="C15" s="19" t="s">
        <v>70</v>
      </c>
      <c r="D15" s="20">
        <f>COUNTIF('TCR genes long'!$B$2:$B$242,B15)</f>
        <v>14</v>
      </c>
      <c r="E15" s="21" t="s">
        <v>71</v>
      </c>
    </row>
    <row r="16" spans="1:5" ht="43.95" customHeight="1">
      <c r="A16" s="18" t="s">
        <v>72</v>
      </c>
      <c r="B16" s="19" t="s">
        <v>73</v>
      </c>
      <c r="C16" s="19" t="s">
        <v>74</v>
      </c>
      <c r="D16" s="20">
        <f>COUNTIF('TCR genes long'!$B$2:$B$242,B16)</f>
        <v>13</v>
      </c>
      <c r="E16" s="21" t="s">
        <v>75</v>
      </c>
    </row>
    <row r="17" spans="1:5" ht="43.95" customHeight="1">
      <c r="A17" s="18" t="s">
        <v>76</v>
      </c>
      <c r="B17" s="19" t="s">
        <v>77</v>
      </c>
      <c r="C17" s="19" t="s">
        <v>78</v>
      </c>
      <c r="D17" s="20">
        <f>COUNTIF('TCR genes long'!$B$2:$B$242,B17)</f>
        <v>17</v>
      </c>
      <c r="E17" s="21" t="s">
        <v>79</v>
      </c>
    </row>
    <row r="18" spans="1:5" ht="43.95" customHeight="1">
      <c r="A18" s="18" t="s">
        <v>80</v>
      </c>
      <c r="B18" s="19" t="s">
        <v>81</v>
      </c>
      <c r="C18" s="19" t="s">
        <v>82</v>
      </c>
      <c r="D18" s="20">
        <f>COUNTIF('TCR genes long'!$B$2:$B$242,B18)</f>
        <v>12</v>
      </c>
      <c r="E18" s="21" t="s">
        <v>83</v>
      </c>
    </row>
    <row r="19" spans="1:5" ht="43.95" customHeight="1">
      <c r="A19" s="18" t="s">
        <v>84</v>
      </c>
      <c r="B19" s="19" t="s">
        <v>85</v>
      </c>
      <c r="C19" s="19" t="s">
        <v>86</v>
      </c>
      <c r="D19" s="20">
        <f>COUNTIF('TCR genes long'!$B$2:$B$242,B19)</f>
        <v>15</v>
      </c>
      <c r="E19" s="21" t="s">
        <v>87</v>
      </c>
    </row>
    <row r="20" spans="1:5" ht="43.95" customHeight="1">
      <c r="A20" s="22" t="s">
        <v>88</v>
      </c>
      <c r="B20" s="23" t="s">
        <v>89</v>
      </c>
      <c r="C20" s="23" t="s">
        <v>90</v>
      </c>
      <c r="D20" s="24">
        <f>COUNTIF('TCR genes long'!$B$2:$B$242,B20)</f>
        <v>12</v>
      </c>
      <c r="E20" s="25" t="s">
        <v>91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showGridLines="0" topLeftCell="A40" workbookViewId="0"/>
  </sheetViews>
  <sheetFormatPr defaultRowHeight="13.8"/>
  <cols>
    <col min="1" max="1" width="12" customWidth="1"/>
    <col min="2" max="2" width="50" customWidth="1"/>
    <col min="3" max="3" width="12" customWidth="1"/>
    <col min="4" max="4" width="18" customWidth="1"/>
  </cols>
  <sheetData>
    <row r="1" spans="1:4">
      <c r="A1" s="9" t="s">
        <v>19</v>
      </c>
      <c r="B1" s="10" t="s">
        <v>20</v>
      </c>
      <c r="C1" s="10" t="s">
        <v>92</v>
      </c>
      <c r="D1" s="11" t="s">
        <v>93</v>
      </c>
    </row>
    <row r="2" spans="1:4">
      <c r="A2" s="14" t="s">
        <v>24</v>
      </c>
      <c r="B2" s="12" t="s">
        <v>25</v>
      </c>
      <c r="C2" s="16">
        <v>1</v>
      </c>
      <c r="D2" s="4" t="s">
        <v>94</v>
      </c>
    </row>
    <row r="3" spans="1:4">
      <c r="A3" s="14" t="s">
        <v>24</v>
      </c>
      <c r="B3" s="12" t="s">
        <v>25</v>
      </c>
      <c r="C3" s="16">
        <v>2</v>
      </c>
      <c r="D3" s="4" t="s">
        <v>95</v>
      </c>
    </row>
    <row r="4" spans="1:4">
      <c r="A4" s="14" t="s">
        <v>24</v>
      </c>
      <c r="B4" s="12" t="s">
        <v>25</v>
      </c>
      <c r="C4" s="16">
        <v>3</v>
      </c>
      <c r="D4" s="4" t="s">
        <v>96</v>
      </c>
    </row>
    <row r="5" spans="1:4">
      <c r="A5" s="14" t="s">
        <v>24</v>
      </c>
      <c r="B5" s="12" t="s">
        <v>25</v>
      </c>
      <c r="C5" s="16">
        <v>4</v>
      </c>
      <c r="D5" s="4" t="s">
        <v>97</v>
      </c>
    </row>
    <row r="6" spans="1:4">
      <c r="A6" s="14" t="s">
        <v>24</v>
      </c>
      <c r="B6" s="12" t="s">
        <v>25</v>
      </c>
      <c r="C6" s="16">
        <v>5</v>
      </c>
      <c r="D6" s="4" t="s">
        <v>98</v>
      </c>
    </row>
    <row r="7" spans="1:4">
      <c r="A7" s="14" t="s">
        <v>24</v>
      </c>
      <c r="B7" s="12" t="s">
        <v>25</v>
      </c>
      <c r="C7" s="16">
        <v>6</v>
      </c>
      <c r="D7" s="4" t="s">
        <v>99</v>
      </c>
    </row>
    <row r="8" spans="1:4">
      <c r="A8" s="14" t="s">
        <v>24</v>
      </c>
      <c r="B8" s="12" t="s">
        <v>25</v>
      </c>
      <c r="C8" s="16">
        <v>7</v>
      </c>
      <c r="D8" s="4" t="s">
        <v>100</v>
      </c>
    </row>
    <row r="9" spans="1:4">
      <c r="A9" s="14" t="s">
        <v>24</v>
      </c>
      <c r="B9" s="12" t="s">
        <v>25</v>
      </c>
      <c r="C9" s="16">
        <v>8</v>
      </c>
      <c r="D9" s="4" t="s">
        <v>101</v>
      </c>
    </row>
    <row r="10" spans="1:4">
      <c r="A10" s="14" t="s">
        <v>24</v>
      </c>
      <c r="B10" s="12" t="s">
        <v>25</v>
      </c>
      <c r="C10" s="16">
        <v>9</v>
      </c>
      <c r="D10" s="4" t="s">
        <v>102</v>
      </c>
    </row>
    <row r="11" spans="1:4">
      <c r="A11" s="14" t="s">
        <v>24</v>
      </c>
      <c r="B11" s="12" t="s">
        <v>25</v>
      </c>
      <c r="C11" s="16">
        <v>10</v>
      </c>
      <c r="D11" s="4" t="s">
        <v>103</v>
      </c>
    </row>
    <row r="12" spans="1:4">
      <c r="A12" s="14" t="s">
        <v>24</v>
      </c>
      <c r="B12" s="12" t="s">
        <v>25</v>
      </c>
      <c r="C12" s="16">
        <v>11</v>
      </c>
      <c r="D12" s="4" t="s">
        <v>104</v>
      </c>
    </row>
    <row r="13" spans="1:4">
      <c r="A13" s="14" t="s">
        <v>24</v>
      </c>
      <c r="B13" s="12" t="s">
        <v>25</v>
      </c>
      <c r="C13" s="16">
        <v>12</v>
      </c>
      <c r="D13" s="4" t="s">
        <v>105</v>
      </c>
    </row>
    <row r="14" spans="1:4">
      <c r="A14" s="14" t="s">
        <v>24</v>
      </c>
      <c r="B14" s="12" t="s">
        <v>25</v>
      </c>
      <c r="C14" s="16">
        <v>13</v>
      </c>
      <c r="D14" s="4" t="s">
        <v>106</v>
      </c>
    </row>
    <row r="15" spans="1:4">
      <c r="A15" s="14" t="s">
        <v>24</v>
      </c>
      <c r="B15" s="12" t="s">
        <v>25</v>
      </c>
      <c r="C15" s="16">
        <v>14</v>
      </c>
      <c r="D15" s="4" t="s">
        <v>107</v>
      </c>
    </row>
    <row r="16" spans="1:4">
      <c r="A16" s="14" t="s">
        <v>24</v>
      </c>
      <c r="B16" s="12" t="s">
        <v>25</v>
      </c>
      <c r="C16" s="16">
        <v>15</v>
      </c>
      <c r="D16" s="4" t="s">
        <v>108</v>
      </c>
    </row>
    <row r="17" spans="1:4">
      <c r="A17" s="14" t="s">
        <v>28</v>
      </c>
      <c r="B17" s="12" t="s">
        <v>29</v>
      </c>
      <c r="C17" s="16">
        <v>1</v>
      </c>
      <c r="D17" s="4" t="s">
        <v>109</v>
      </c>
    </row>
    <row r="18" spans="1:4">
      <c r="A18" s="14" t="s">
        <v>28</v>
      </c>
      <c r="B18" s="12" t="s">
        <v>29</v>
      </c>
      <c r="C18" s="16">
        <v>2</v>
      </c>
      <c r="D18" s="4" t="s">
        <v>110</v>
      </c>
    </row>
    <row r="19" spans="1:4">
      <c r="A19" s="14" t="s">
        <v>28</v>
      </c>
      <c r="B19" s="12" t="s">
        <v>29</v>
      </c>
      <c r="C19" s="16">
        <v>3</v>
      </c>
      <c r="D19" s="4" t="s">
        <v>111</v>
      </c>
    </row>
    <row r="20" spans="1:4">
      <c r="A20" s="14" t="s">
        <v>28</v>
      </c>
      <c r="B20" s="12" t="s">
        <v>29</v>
      </c>
      <c r="C20" s="16">
        <v>4</v>
      </c>
      <c r="D20" s="4" t="s">
        <v>112</v>
      </c>
    </row>
    <row r="21" spans="1:4">
      <c r="A21" s="14" t="s">
        <v>28</v>
      </c>
      <c r="B21" s="12" t="s">
        <v>29</v>
      </c>
      <c r="C21" s="16">
        <v>5</v>
      </c>
      <c r="D21" s="4" t="s">
        <v>113</v>
      </c>
    </row>
    <row r="22" spans="1:4">
      <c r="A22" s="14" t="s">
        <v>28</v>
      </c>
      <c r="B22" s="12" t="s">
        <v>29</v>
      </c>
      <c r="C22" s="16">
        <v>6</v>
      </c>
      <c r="D22" s="4" t="s">
        <v>114</v>
      </c>
    </row>
    <row r="23" spans="1:4">
      <c r="A23" s="14" t="s">
        <v>28</v>
      </c>
      <c r="B23" s="12" t="s">
        <v>29</v>
      </c>
      <c r="C23" s="16">
        <v>7</v>
      </c>
      <c r="D23" s="4" t="s">
        <v>115</v>
      </c>
    </row>
    <row r="24" spans="1:4">
      <c r="A24" s="14" t="s">
        <v>28</v>
      </c>
      <c r="B24" s="12" t="s">
        <v>29</v>
      </c>
      <c r="C24" s="16">
        <v>8</v>
      </c>
      <c r="D24" s="4" t="s">
        <v>116</v>
      </c>
    </row>
    <row r="25" spans="1:4">
      <c r="A25" s="14" t="s">
        <v>28</v>
      </c>
      <c r="B25" s="12" t="s">
        <v>29</v>
      </c>
      <c r="C25" s="16">
        <v>9</v>
      </c>
      <c r="D25" s="4" t="s">
        <v>117</v>
      </c>
    </row>
    <row r="26" spans="1:4">
      <c r="A26" s="14" t="s">
        <v>28</v>
      </c>
      <c r="B26" s="12" t="s">
        <v>29</v>
      </c>
      <c r="C26" s="16">
        <v>10</v>
      </c>
      <c r="D26" s="4" t="s">
        <v>118</v>
      </c>
    </row>
    <row r="27" spans="1:4">
      <c r="A27" s="14" t="s">
        <v>28</v>
      </c>
      <c r="B27" s="12" t="s">
        <v>29</v>
      </c>
      <c r="C27" s="16">
        <v>11</v>
      </c>
      <c r="D27" s="4" t="s">
        <v>119</v>
      </c>
    </row>
    <row r="28" spans="1:4">
      <c r="A28" s="14" t="s">
        <v>28</v>
      </c>
      <c r="B28" s="12" t="s">
        <v>29</v>
      </c>
      <c r="C28" s="16">
        <v>12</v>
      </c>
      <c r="D28" s="4" t="s">
        <v>120</v>
      </c>
    </row>
    <row r="29" spans="1:4">
      <c r="A29" s="14" t="s">
        <v>28</v>
      </c>
      <c r="B29" s="12" t="s">
        <v>29</v>
      </c>
      <c r="C29" s="16">
        <v>13</v>
      </c>
      <c r="D29" s="4" t="s">
        <v>121</v>
      </c>
    </row>
    <row r="30" spans="1:4">
      <c r="A30" s="14" t="s">
        <v>28</v>
      </c>
      <c r="B30" s="12" t="s">
        <v>29</v>
      </c>
      <c r="C30" s="16">
        <v>14</v>
      </c>
      <c r="D30" s="4" t="s">
        <v>122</v>
      </c>
    </row>
    <row r="31" spans="1:4">
      <c r="A31" s="14" t="s">
        <v>28</v>
      </c>
      <c r="B31" s="12" t="s">
        <v>29</v>
      </c>
      <c r="C31" s="16">
        <v>15</v>
      </c>
      <c r="D31" s="4" t="s">
        <v>123</v>
      </c>
    </row>
    <row r="32" spans="1:4">
      <c r="A32" s="14" t="s">
        <v>28</v>
      </c>
      <c r="B32" s="12" t="s">
        <v>29</v>
      </c>
      <c r="C32" s="16">
        <v>16</v>
      </c>
      <c r="D32" s="4" t="s">
        <v>124</v>
      </c>
    </row>
    <row r="33" spans="1:4">
      <c r="A33" s="14" t="s">
        <v>28</v>
      </c>
      <c r="B33" s="12" t="s">
        <v>29</v>
      </c>
      <c r="C33" s="16">
        <v>17</v>
      </c>
      <c r="D33" s="4" t="s">
        <v>125</v>
      </c>
    </row>
    <row r="34" spans="1:4">
      <c r="A34" s="14" t="s">
        <v>28</v>
      </c>
      <c r="B34" s="12" t="s">
        <v>29</v>
      </c>
      <c r="C34" s="16">
        <v>18</v>
      </c>
      <c r="D34" s="4" t="s">
        <v>126</v>
      </c>
    </row>
    <row r="35" spans="1:4">
      <c r="A35" s="14" t="s">
        <v>28</v>
      </c>
      <c r="B35" s="12" t="s">
        <v>29</v>
      </c>
      <c r="C35" s="16">
        <v>19</v>
      </c>
      <c r="D35" s="4" t="s">
        <v>127</v>
      </c>
    </row>
    <row r="36" spans="1:4">
      <c r="A36" s="14" t="s">
        <v>28</v>
      </c>
      <c r="B36" s="12" t="s">
        <v>29</v>
      </c>
      <c r="C36" s="16">
        <v>20</v>
      </c>
      <c r="D36" s="4" t="s">
        <v>128</v>
      </c>
    </row>
    <row r="37" spans="1:4">
      <c r="A37" s="14" t="s">
        <v>32</v>
      </c>
      <c r="B37" s="12" t="s">
        <v>33</v>
      </c>
      <c r="C37" s="16">
        <v>1</v>
      </c>
      <c r="D37" s="4" t="s">
        <v>129</v>
      </c>
    </row>
    <row r="38" spans="1:4">
      <c r="A38" s="14" t="s">
        <v>32</v>
      </c>
      <c r="B38" s="12" t="s">
        <v>33</v>
      </c>
      <c r="C38" s="16">
        <v>2</v>
      </c>
      <c r="D38" s="4" t="s">
        <v>130</v>
      </c>
    </row>
    <row r="39" spans="1:4">
      <c r="A39" s="14" t="s">
        <v>32</v>
      </c>
      <c r="B39" s="12" t="s">
        <v>33</v>
      </c>
      <c r="C39" s="16">
        <v>3</v>
      </c>
      <c r="D39" s="4" t="s">
        <v>131</v>
      </c>
    </row>
    <row r="40" spans="1:4">
      <c r="A40" s="14" t="s">
        <v>32</v>
      </c>
      <c r="B40" s="12" t="s">
        <v>33</v>
      </c>
      <c r="C40" s="16">
        <v>4</v>
      </c>
      <c r="D40" s="4" t="s">
        <v>132</v>
      </c>
    </row>
    <row r="41" spans="1:4">
      <c r="A41" s="14" t="s">
        <v>32</v>
      </c>
      <c r="B41" s="12" t="s">
        <v>33</v>
      </c>
      <c r="C41" s="16">
        <v>5</v>
      </c>
      <c r="D41" s="4" t="s">
        <v>133</v>
      </c>
    </row>
    <row r="42" spans="1:4">
      <c r="A42" s="14" t="s">
        <v>32</v>
      </c>
      <c r="B42" s="12" t="s">
        <v>33</v>
      </c>
      <c r="C42" s="16">
        <v>6</v>
      </c>
      <c r="D42" s="4" t="s">
        <v>134</v>
      </c>
    </row>
    <row r="43" spans="1:4">
      <c r="A43" s="14" t="s">
        <v>32</v>
      </c>
      <c r="B43" s="12" t="s">
        <v>33</v>
      </c>
      <c r="C43" s="16">
        <v>7</v>
      </c>
      <c r="D43" s="4" t="s">
        <v>135</v>
      </c>
    </row>
    <row r="44" spans="1:4">
      <c r="A44" s="14" t="s">
        <v>32</v>
      </c>
      <c r="B44" s="12" t="s">
        <v>33</v>
      </c>
      <c r="C44" s="16">
        <v>8</v>
      </c>
      <c r="D44" s="4" t="s">
        <v>136</v>
      </c>
    </row>
    <row r="45" spans="1:4">
      <c r="A45" s="14" t="s">
        <v>32</v>
      </c>
      <c r="B45" s="12" t="s">
        <v>33</v>
      </c>
      <c r="C45" s="16">
        <v>9</v>
      </c>
      <c r="D45" s="4" t="s">
        <v>137</v>
      </c>
    </row>
    <row r="46" spans="1:4">
      <c r="A46" s="14" t="s">
        <v>32</v>
      </c>
      <c r="B46" s="12" t="s">
        <v>33</v>
      </c>
      <c r="C46" s="16">
        <v>10</v>
      </c>
      <c r="D46" s="4" t="s">
        <v>138</v>
      </c>
    </row>
    <row r="47" spans="1:4">
      <c r="A47" s="14" t="s">
        <v>32</v>
      </c>
      <c r="B47" s="12" t="s">
        <v>33</v>
      </c>
      <c r="C47" s="16">
        <v>11</v>
      </c>
      <c r="D47" s="4" t="s">
        <v>139</v>
      </c>
    </row>
    <row r="48" spans="1:4">
      <c r="A48" s="14" t="s">
        <v>32</v>
      </c>
      <c r="B48" s="12" t="s">
        <v>33</v>
      </c>
      <c r="C48" s="16">
        <v>12</v>
      </c>
      <c r="D48" s="4" t="s">
        <v>140</v>
      </c>
    </row>
    <row r="49" spans="1:4">
      <c r="A49" s="14" t="s">
        <v>32</v>
      </c>
      <c r="B49" s="12" t="s">
        <v>33</v>
      </c>
      <c r="C49" s="16">
        <v>13</v>
      </c>
      <c r="D49" s="4" t="s">
        <v>141</v>
      </c>
    </row>
    <row r="50" spans="1:4">
      <c r="A50" s="14" t="s">
        <v>32</v>
      </c>
      <c r="B50" s="12" t="s">
        <v>33</v>
      </c>
      <c r="C50" s="16">
        <v>14</v>
      </c>
      <c r="D50" s="4" t="s">
        <v>142</v>
      </c>
    </row>
    <row r="51" spans="1:4">
      <c r="A51" s="14" t="s">
        <v>32</v>
      </c>
      <c r="B51" s="12" t="s">
        <v>33</v>
      </c>
      <c r="C51" s="16">
        <v>15</v>
      </c>
      <c r="D51" s="4" t="s">
        <v>143</v>
      </c>
    </row>
    <row r="52" spans="1:4">
      <c r="A52" s="14" t="s">
        <v>32</v>
      </c>
      <c r="B52" s="12" t="s">
        <v>33</v>
      </c>
      <c r="C52" s="16">
        <v>16</v>
      </c>
      <c r="D52" s="4" t="s">
        <v>144</v>
      </c>
    </row>
    <row r="53" spans="1:4">
      <c r="A53" s="14" t="s">
        <v>32</v>
      </c>
      <c r="B53" s="12" t="s">
        <v>33</v>
      </c>
      <c r="C53" s="16">
        <v>17</v>
      </c>
      <c r="D53" s="4" t="s">
        <v>145</v>
      </c>
    </row>
    <row r="54" spans="1:4">
      <c r="A54" s="14" t="s">
        <v>32</v>
      </c>
      <c r="B54" s="12" t="s">
        <v>33</v>
      </c>
      <c r="C54" s="16">
        <v>18</v>
      </c>
      <c r="D54" s="4" t="s">
        <v>146</v>
      </c>
    </row>
    <row r="55" spans="1:4">
      <c r="A55" s="14" t="s">
        <v>36</v>
      </c>
      <c r="B55" s="12" t="s">
        <v>37</v>
      </c>
      <c r="C55" s="16">
        <v>1</v>
      </c>
      <c r="D55" s="4" t="s">
        <v>135</v>
      </c>
    </row>
    <row r="56" spans="1:4">
      <c r="A56" s="14" t="s">
        <v>36</v>
      </c>
      <c r="B56" s="12" t="s">
        <v>37</v>
      </c>
      <c r="C56" s="16">
        <v>2</v>
      </c>
      <c r="D56" s="4" t="s">
        <v>133</v>
      </c>
    </row>
    <row r="57" spans="1:4">
      <c r="A57" s="14" t="s">
        <v>36</v>
      </c>
      <c r="B57" s="12" t="s">
        <v>37</v>
      </c>
      <c r="C57" s="16">
        <v>3</v>
      </c>
      <c r="D57" s="4" t="s">
        <v>140</v>
      </c>
    </row>
    <row r="58" spans="1:4">
      <c r="A58" s="14" t="s">
        <v>36</v>
      </c>
      <c r="B58" s="12" t="s">
        <v>37</v>
      </c>
      <c r="C58" s="16">
        <v>4</v>
      </c>
      <c r="D58" s="4" t="s">
        <v>141</v>
      </c>
    </row>
    <row r="59" spans="1:4">
      <c r="A59" s="14" t="s">
        <v>36</v>
      </c>
      <c r="B59" s="12" t="s">
        <v>37</v>
      </c>
      <c r="C59" s="16">
        <v>5</v>
      </c>
      <c r="D59" s="4" t="s">
        <v>147</v>
      </c>
    </row>
    <row r="60" spans="1:4">
      <c r="A60" s="14" t="s">
        <v>36</v>
      </c>
      <c r="B60" s="12" t="s">
        <v>37</v>
      </c>
      <c r="C60" s="16">
        <v>6</v>
      </c>
      <c r="D60" s="4" t="s">
        <v>148</v>
      </c>
    </row>
    <row r="61" spans="1:4">
      <c r="A61" s="14" t="s">
        <v>36</v>
      </c>
      <c r="B61" s="12" t="s">
        <v>37</v>
      </c>
      <c r="C61" s="16">
        <v>7</v>
      </c>
      <c r="D61" s="4" t="s">
        <v>149</v>
      </c>
    </row>
    <row r="62" spans="1:4">
      <c r="A62" s="14" t="s">
        <v>36</v>
      </c>
      <c r="B62" s="12" t="s">
        <v>37</v>
      </c>
      <c r="C62" s="16">
        <v>8</v>
      </c>
      <c r="D62" s="4" t="s">
        <v>129</v>
      </c>
    </row>
    <row r="63" spans="1:4">
      <c r="A63" s="14" t="s">
        <v>36</v>
      </c>
      <c r="B63" s="12" t="s">
        <v>37</v>
      </c>
      <c r="C63" s="16">
        <v>9</v>
      </c>
      <c r="D63" s="4" t="s">
        <v>119</v>
      </c>
    </row>
    <row r="64" spans="1:4">
      <c r="A64" s="14" t="s">
        <v>36</v>
      </c>
      <c r="B64" s="12" t="s">
        <v>37</v>
      </c>
      <c r="C64" s="16">
        <v>10</v>
      </c>
      <c r="D64" s="4" t="s">
        <v>150</v>
      </c>
    </row>
    <row r="65" spans="1:4">
      <c r="A65" s="14" t="s">
        <v>36</v>
      </c>
      <c r="B65" s="12" t="s">
        <v>37</v>
      </c>
      <c r="C65" s="16">
        <v>11</v>
      </c>
      <c r="D65" s="4" t="s">
        <v>151</v>
      </c>
    </row>
    <row r="66" spans="1:4">
      <c r="A66" s="14" t="s">
        <v>36</v>
      </c>
      <c r="B66" s="12" t="s">
        <v>37</v>
      </c>
      <c r="C66" s="16">
        <v>12</v>
      </c>
      <c r="D66" s="4" t="s">
        <v>152</v>
      </c>
    </row>
    <row r="67" spans="1:4">
      <c r="A67" s="14" t="s">
        <v>36</v>
      </c>
      <c r="B67" s="12" t="s">
        <v>37</v>
      </c>
      <c r="C67" s="16">
        <v>13</v>
      </c>
      <c r="D67" s="4" t="s">
        <v>98</v>
      </c>
    </row>
    <row r="68" spans="1:4">
      <c r="A68" s="14" t="s">
        <v>40</v>
      </c>
      <c r="B68" s="12" t="s">
        <v>41</v>
      </c>
      <c r="C68" s="16">
        <v>1</v>
      </c>
      <c r="D68" s="4" t="s">
        <v>153</v>
      </c>
    </row>
    <row r="69" spans="1:4">
      <c r="A69" s="14" t="s">
        <v>40</v>
      </c>
      <c r="B69" s="12" t="s">
        <v>41</v>
      </c>
      <c r="C69" s="16">
        <v>2</v>
      </c>
      <c r="D69" s="4" t="s">
        <v>154</v>
      </c>
    </row>
    <row r="70" spans="1:4">
      <c r="A70" s="14" t="s">
        <v>40</v>
      </c>
      <c r="B70" s="12" t="s">
        <v>41</v>
      </c>
      <c r="C70" s="16">
        <v>3</v>
      </c>
      <c r="D70" s="4" t="s">
        <v>152</v>
      </c>
    </row>
    <row r="71" spans="1:4">
      <c r="A71" s="14" t="s">
        <v>40</v>
      </c>
      <c r="B71" s="12" t="s">
        <v>41</v>
      </c>
      <c r="C71" s="16">
        <v>4</v>
      </c>
      <c r="D71" s="4" t="s">
        <v>143</v>
      </c>
    </row>
    <row r="72" spans="1:4">
      <c r="A72" s="14" t="s">
        <v>40</v>
      </c>
      <c r="B72" s="12" t="s">
        <v>41</v>
      </c>
      <c r="C72" s="16">
        <v>5</v>
      </c>
      <c r="D72" s="4" t="s">
        <v>155</v>
      </c>
    </row>
    <row r="73" spans="1:4">
      <c r="A73" s="14" t="s">
        <v>40</v>
      </c>
      <c r="B73" s="12" t="s">
        <v>41</v>
      </c>
      <c r="C73" s="16">
        <v>6</v>
      </c>
      <c r="D73" s="4" t="s">
        <v>156</v>
      </c>
    </row>
    <row r="74" spans="1:4">
      <c r="A74" s="14" t="s">
        <v>40</v>
      </c>
      <c r="B74" s="12" t="s">
        <v>41</v>
      </c>
      <c r="C74" s="16">
        <v>7</v>
      </c>
      <c r="D74" s="4" t="s">
        <v>140</v>
      </c>
    </row>
    <row r="75" spans="1:4">
      <c r="A75" s="14" t="s">
        <v>40</v>
      </c>
      <c r="B75" s="12" t="s">
        <v>41</v>
      </c>
      <c r="C75" s="16">
        <v>8</v>
      </c>
      <c r="D75" s="4" t="s">
        <v>141</v>
      </c>
    </row>
    <row r="76" spans="1:4">
      <c r="A76" s="14" t="s">
        <v>40</v>
      </c>
      <c r="B76" s="12" t="s">
        <v>41</v>
      </c>
      <c r="C76" s="16">
        <v>9</v>
      </c>
      <c r="D76" s="4" t="s">
        <v>129</v>
      </c>
    </row>
    <row r="77" spans="1:4">
      <c r="A77" s="14" t="s">
        <v>40</v>
      </c>
      <c r="B77" s="12" t="s">
        <v>41</v>
      </c>
      <c r="C77" s="16">
        <v>10</v>
      </c>
      <c r="D77" s="4" t="s">
        <v>132</v>
      </c>
    </row>
    <row r="78" spans="1:4">
      <c r="A78" s="14" t="s">
        <v>40</v>
      </c>
      <c r="B78" s="12" t="s">
        <v>41</v>
      </c>
      <c r="C78" s="16">
        <v>11</v>
      </c>
      <c r="D78" s="4" t="s">
        <v>131</v>
      </c>
    </row>
    <row r="79" spans="1:4">
      <c r="A79" s="14" t="s">
        <v>40</v>
      </c>
      <c r="B79" s="12" t="s">
        <v>41</v>
      </c>
      <c r="C79" s="16">
        <v>12</v>
      </c>
      <c r="D79" s="4" t="s">
        <v>157</v>
      </c>
    </row>
    <row r="80" spans="1:4">
      <c r="A80" s="14" t="s">
        <v>40</v>
      </c>
      <c r="B80" s="12" t="s">
        <v>41</v>
      </c>
      <c r="C80" s="16">
        <v>13</v>
      </c>
      <c r="D80" s="4" t="s">
        <v>158</v>
      </c>
    </row>
    <row r="81" spans="1:4">
      <c r="A81" s="14" t="s">
        <v>44</v>
      </c>
      <c r="B81" s="12" t="s">
        <v>45</v>
      </c>
      <c r="C81" s="16">
        <v>1</v>
      </c>
      <c r="D81" s="4" t="s">
        <v>159</v>
      </c>
    </row>
    <row r="82" spans="1:4">
      <c r="A82" s="14" t="s">
        <v>44</v>
      </c>
      <c r="B82" s="12" t="s">
        <v>45</v>
      </c>
      <c r="C82" s="16">
        <v>2</v>
      </c>
      <c r="D82" s="4" t="s">
        <v>160</v>
      </c>
    </row>
    <row r="83" spans="1:4">
      <c r="A83" s="14" t="s">
        <v>44</v>
      </c>
      <c r="B83" s="12" t="s">
        <v>45</v>
      </c>
      <c r="C83" s="16">
        <v>3</v>
      </c>
      <c r="D83" s="4" t="s">
        <v>161</v>
      </c>
    </row>
    <row r="84" spans="1:4">
      <c r="A84" s="14" t="s">
        <v>44</v>
      </c>
      <c r="B84" s="12" t="s">
        <v>45</v>
      </c>
      <c r="C84" s="16">
        <v>4</v>
      </c>
      <c r="D84" s="4" t="s">
        <v>162</v>
      </c>
    </row>
    <row r="85" spans="1:4">
      <c r="A85" s="14" t="s">
        <v>44</v>
      </c>
      <c r="B85" s="12" t="s">
        <v>45</v>
      </c>
      <c r="C85" s="16">
        <v>5</v>
      </c>
      <c r="D85" s="4" t="s">
        <v>163</v>
      </c>
    </row>
    <row r="86" spans="1:4">
      <c r="A86" s="14" t="s">
        <v>44</v>
      </c>
      <c r="B86" s="12" t="s">
        <v>45</v>
      </c>
      <c r="C86" s="16">
        <v>6</v>
      </c>
      <c r="D86" s="4" t="s">
        <v>164</v>
      </c>
    </row>
    <row r="87" spans="1:4">
      <c r="A87" s="14" t="s">
        <v>44</v>
      </c>
      <c r="B87" s="12" t="s">
        <v>45</v>
      </c>
      <c r="C87" s="16">
        <v>7</v>
      </c>
      <c r="D87" s="4" t="s">
        <v>165</v>
      </c>
    </row>
    <row r="88" spans="1:4">
      <c r="A88" s="14" t="s">
        <v>44</v>
      </c>
      <c r="B88" s="12" t="s">
        <v>45</v>
      </c>
      <c r="C88" s="16">
        <v>8</v>
      </c>
      <c r="D88" s="4" t="s">
        <v>166</v>
      </c>
    </row>
    <row r="89" spans="1:4">
      <c r="A89" s="14" t="s">
        <v>44</v>
      </c>
      <c r="B89" s="12" t="s">
        <v>45</v>
      </c>
      <c r="C89" s="16">
        <v>9</v>
      </c>
      <c r="D89" s="4" t="s">
        <v>167</v>
      </c>
    </row>
    <row r="90" spans="1:4">
      <c r="A90" s="14" t="s">
        <v>44</v>
      </c>
      <c r="B90" s="12" t="s">
        <v>45</v>
      </c>
      <c r="C90" s="16">
        <v>10</v>
      </c>
      <c r="D90" s="4" t="s">
        <v>168</v>
      </c>
    </row>
    <row r="91" spans="1:4">
      <c r="A91" s="14" t="s">
        <v>44</v>
      </c>
      <c r="B91" s="12" t="s">
        <v>45</v>
      </c>
      <c r="C91" s="16">
        <v>11</v>
      </c>
      <c r="D91" s="4" t="s">
        <v>169</v>
      </c>
    </row>
    <row r="92" spans="1:4">
      <c r="A92" s="14" t="s">
        <v>44</v>
      </c>
      <c r="B92" s="12" t="s">
        <v>45</v>
      </c>
      <c r="C92" s="16">
        <v>12</v>
      </c>
      <c r="D92" s="4" t="s">
        <v>170</v>
      </c>
    </row>
    <row r="93" spans="1:4">
      <c r="A93" s="14" t="s">
        <v>44</v>
      </c>
      <c r="B93" s="12" t="s">
        <v>45</v>
      </c>
      <c r="C93" s="16">
        <v>13</v>
      </c>
      <c r="D93" s="4" t="s">
        <v>157</v>
      </c>
    </row>
    <row r="94" spans="1:4">
      <c r="A94" s="14" t="s">
        <v>44</v>
      </c>
      <c r="B94" s="12" t="s">
        <v>45</v>
      </c>
      <c r="C94" s="16">
        <v>14</v>
      </c>
      <c r="D94" s="4" t="s">
        <v>99</v>
      </c>
    </row>
    <row r="95" spans="1:4">
      <c r="A95" s="14" t="s">
        <v>48</v>
      </c>
      <c r="B95" s="12" t="s">
        <v>49</v>
      </c>
      <c r="C95" s="16">
        <v>1</v>
      </c>
      <c r="D95" s="4" t="s">
        <v>171</v>
      </c>
    </row>
    <row r="96" spans="1:4">
      <c r="A96" s="14" t="s">
        <v>48</v>
      </c>
      <c r="B96" s="12" t="s">
        <v>49</v>
      </c>
      <c r="C96" s="16">
        <v>2</v>
      </c>
      <c r="D96" s="4" t="s">
        <v>172</v>
      </c>
    </row>
    <row r="97" spans="1:4">
      <c r="A97" s="14" t="s">
        <v>48</v>
      </c>
      <c r="B97" s="12" t="s">
        <v>49</v>
      </c>
      <c r="C97" s="16">
        <v>3</v>
      </c>
      <c r="D97" s="4" t="s">
        <v>173</v>
      </c>
    </row>
    <row r="98" spans="1:4">
      <c r="A98" s="14" t="s">
        <v>48</v>
      </c>
      <c r="B98" s="12" t="s">
        <v>49</v>
      </c>
      <c r="C98" s="16">
        <v>4</v>
      </c>
      <c r="D98" s="4" t="s">
        <v>174</v>
      </c>
    </row>
    <row r="99" spans="1:4">
      <c r="A99" s="14" t="s">
        <v>48</v>
      </c>
      <c r="B99" s="12" t="s">
        <v>49</v>
      </c>
      <c r="C99" s="16">
        <v>5</v>
      </c>
      <c r="D99" s="4" t="s">
        <v>175</v>
      </c>
    </row>
    <row r="100" spans="1:4">
      <c r="A100" s="14" t="s">
        <v>48</v>
      </c>
      <c r="B100" s="12" t="s">
        <v>49</v>
      </c>
      <c r="C100" s="16">
        <v>6</v>
      </c>
      <c r="D100" s="4" t="s">
        <v>176</v>
      </c>
    </row>
    <row r="101" spans="1:4">
      <c r="A101" s="14" t="s">
        <v>48</v>
      </c>
      <c r="B101" s="12" t="s">
        <v>49</v>
      </c>
      <c r="C101" s="16">
        <v>7</v>
      </c>
      <c r="D101" s="4" t="s">
        <v>177</v>
      </c>
    </row>
    <row r="102" spans="1:4">
      <c r="A102" s="14" t="s">
        <v>48</v>
      </c>
      <c r="B102" s="12" t="s">
        <v>49</v>
      </c>
      <c r="C102" s="16">
        <v>8</v>
      </c>
      <c r="D102" s="4" t="s">
        <v>178</v>
      </c>
    </row>
    <row r="103" spans="1:4">
      <c r="A103" s="14" t="s">
        <v>48</v>
      </c>
      <c r="B103" s="12" t="s">
        <v>49</v>
      </c>
      <c r="C103" s="16">
        <v>9</v>
      </c>
      <c r="D103" s="4" t="s">
        <v>179</v>
      </c>
    </row>
    <row r="104" spans="1:4">
      <c r="A104" s="14" t="s">
        <v>48</v>
      </c>
      <c r="B104" s="12" t="s">
        <v>49</v>
      </c>
      <c r="C104" s="16">
        <v>10</v>
      </c>
      <c r="D104" s="4" t="s">
        <v>180</v>
      </c>
    </row>
    <row r="105" spans="1:4">
      <c r="A105" s="14" t="s">
        <v>48</v>
      </c>
      <c r="B105" s="12" t="s">
        <v>49</v>
      </c>
      <c r="C105" s="16">
        <v>11</v>
      </c>
      <c r="D105" s="4" t="s">
        <v>128</v>
      </c>
    </row>
    <row r="106" spans="1:4">
      <c r="A106" s="14" t="s">
        <v>48</v>
      </c>
      <c r="B106" s="12" t="s">
        <v>49</v>
      </c>
      <c r="C106" s="16">
        <v>12</v>
      </c>
      <c r="D106" s="4" t="s">
        <v>151</v>
      </c>
    </row>
    <row r="107" spans="1:4">
      <c r="A107" s="14" t="s">
        <v>48</v>
      </c>
      <c r="B107" s="12" t="s">
        <v>49</v>
      </c>
      <c r="C107" s="16">
        <v>13</v>
      </c>
      <c r="D107" s="4" t="s">
        <v>181</v>
      </c>
    </row>
    <row r="108" spans="1:4">
      <c r="A108" s="14" t="s">
        <v>48</v>
      </c>
      <c r="B108" s="12" t="s">
        <v>49</v>
      </c>
      <c r="C108" s="16">
        <v>14</v>
      </c>
      <c r="D108" s="4" t="s">
        <v>182</v>
      </c>
    </row>
    <row r="109" spans="1:4">
      <c r="A109" s="14" t="s">
        <v>48</v>
      </c>
      <c r="B109" s="12" t="s">
        <v>49</v>
      </c>
      <c r="C109" s="16">
        <v>15</v>
      </c>
      <c r="D109" s="4" t="s">
        <v>183</v>
      </c>
    </row>
    <row r="110" spans="1:4">
      <c r="A110" s="14" t="s">
        <v>52</v>
      </c>
      <c r="B110" s="12" t="s">
        <v>53</v>
      </c>
      <c r="C110" s="16">
        <v>1</v>
      </c>
      <c r="D110" s="4" t="s">
        <v>122</v>
      </c>
    </row>
    <row r="111" spans="1:4">
      <c r="A111" s="14" t="s">
        <v>52</v>
      </c>
      <c r="B111" s="12" t="s">
        <v>53</v>
      </c>
      <c r="C111" s="16">
        <v>2</v>
      </c>
      <c r="D111" s="4" t="s">
        <v>184</v>
      </c>
    </row>
    <row r="112" spans="1:4">
      <c r="A112" s="14" t="s">
        <v>52</v>
      </c>
      <c r="B112" s="12" t="s">
        <v>53</v>
      </c>
      <c r="C112" s="16">
        <v>3</v>
      </c>
      <c r="D112" s="4" t="s">
        <v>185</v>
      </c>
    </row>
    <row r="113" spans="1:4">
      <c r="A113" s="14" t="s">
        <v>52</v>
      </c>
      <c r="B113" s="12" t="s">
        <v>53</v>
      </c>
      <c r="C113" s="16">
        <v>4</v>
      </c>
      <c r="D113" s="4" t="s">
        <v>157</v>
      </c>
    </row>
    <row r="114" spans="1:4">
      <c r="A114" s="14" t="s">
        <v>52</v>
      </c>
      <c r="B114" s="12" t="s">
        <v>53</v>
      </c>
      <c r="C114" s="16">
        <v>5</v>
      </c>
      <c r="D114" s="4" t="s">
        <v>186</v>
      </c>
    </row>
    <row r="115" spans="1:4">
      <c r="A115" s="14" t="s">
        <v>52</v>
      </c>
      <c r="B115" s="12" t="s">
        <v>53</v>
      </c>
      <c r="C115" s="16">
        <v>6</v>
      </c>
      <c r="D115" s="4" t="s">
        <v>187</v>
      </c>
    </row>
    <row r="116" spans="1:4">
      <c r="A116" s="14" t="s">
        <v>52</v>
      </c>
      <c r="B116" s="12" t="s">
        <v>53</v>
      </c>
      <c r="C116" s="16">
        <v>7</v>
      </c>
      <c r="D116" s="4" t="s">
        <v>181</v>
      </c>
    </row>
    <row r="117" spans="1:4">
      <c r="A117" s="14" t="s">
        <v>52</v>
      </c>
      <c r="B117" s="12" t="s">
        <v>53</v>
      </c>
      <c r="C117" s="16">
        <v>8</v>
      </c>
      <c r="D117" s="4" t="s">
        <v>188</v>
      </c>
    </row>
    <row r="118" spans="1:4">
      <c r="A118" s="14" t="s">
        <v>52</v>
      </c>
      <c r="B118" s="12" t="s">
        <v>53</v>
      </c>
      <c r="C118" s="16">
        <v>9</v>
      </c>
      <c r="D118" s="4" t="s">
        <v>189</v>
      </c>
    </row>
    <row r="119" spans="1:4">
      <c r="A119" s="14" t="s">
        <v>52</v>
      </c>
      <c r="B119" s="12" t="s">
        <v>53</v>
      </c>
      <c r="C119" s="16">
        <v>10</v>
      </c>
      <c r="D119" s="4" t="s">
        <v>190</v>
      </c>
    </row>
    <row r="120" spans="1:4">
      <c r="A120" s="14" t="s">
        <v>52</v>
      </c>
      <c r="B120" s="12" t="s">
        <v>53</v>
      </c>
      <c r="C120" s="16">
        <v>11</v>
      </c>
      <c r="D120" s="4" t="s">
        <v>167</v>
      </c>
    </row>
    <row r="121" spans="1:4">
      <c r="A121" s="14" t="s">
        <v>52</v>
      </c>
      <c r="B121" s="12" t="s">
        <v>53</v>
      </c>
      <c r="C121" s="16">
        <v>12</v>
      </c>
      <c r="D121" s="4" t="s">
        <v>160</v>
      </c>
    </row>
    <row r="122" spans="1:4">
      <c r="A122" s="14" t="s">
        <v>56</v>
      </c>
      <c r="B122" s="12" t="s">
        <v>57</v>
      </c>
      <c r="C122" s="16">
        <v>1</v>
      </c>
      <c r="D122" s="4" t="s">
        <v>151</v>
      </c>
    </row>
    <row r="123" spans="1:4">
      <c r="A123" s="14" t="s">
        <v>56</v>
      </c>
      <c r="B123" s="12" t="s">
        <v>57</v>
      </c>
      <c r="C123" s="16">
        <v>2</v>
      </c>
      <c r="D123" s="4" t="s">
        <v>191</v>
      </c>
    </row>
    <row r="124" spans="1:4">
      <c r="A124" s="14" t="s">
        <v>56</v>
      </c>
      <c r="B124" s="12" t="s">
        <v>57</v>
      </c>
      <c r="C124" s="16">
        <v>3</v>
      </c>
      <c r="D124" s="4" t="s">
        <v>132</v>
      </c>
    </row>
    <row r="125" spans="1:4">
      <c r="A125" s="14" t="s">
        <v>56</v>
      </c>
      <c r="B125" s="12" t="s">
        <v>57</v>
      </c>
      <c r="C125" s="16">
        <v>4</v>
      </c>
      <c r="D125" s="4" t="s">
        <v>134</v>
      </c>
    </row>
    <row r="126" spans="1:4">
      <c r="A126" s="14" t="s">
        <v>56</v>
      </c>
      <c r="B126" s="12" t="s">
        <v>57</v>
      </c>
      <c r="C126" s="16">
        <v>5</v>
      </c>
      <c r="D126" s="4" t="s">
        <v>131</v>
      </c>
    </row>
    <row r="127" spans="1:4">
      <c r="A127" s="14" t="s">
        <v>56</v>
      </c>
      <c r="B127" s="12" t="s">
        <v>57</v>
      </c>
      <c r="C127" s="16">
        <v>6</v>
      </c>
      <c r="D127" s="4" t="s">
        <v>129</v>
      </c>
    </row>
    <row r="128" spans="1:4">
      <c r="A128" s="14" t="s">
        <v>56</v>
      </c>
      <c r="B128" s="12" t="s">
        <v>57</v>
      </c>
      <c r="C128" s="16">
        <v>7</v>
      </c>
      <c r="D128" s="4" t="s">
        <v>192</v>
      </c>
    </row>
    <row r="129" spans="1:4">
      <c r="A129" s="14" t="s">
        <v>56</v>
      </c>
      <c r="B129" s="12" t="s">
        <v>57</v>
      </c>
      <c r="C129" s="16">
        <v>8</v>
      </c>
      <c r="D129" s="4" t="s">
        <v>146</v>
      </c>
    </row>
    <row r="130" spans="1:4">
      <c r="A130" s="14" t="s">
        <v>56</v>
      </c>
      <c r="B130" s="12" t="s">
        <v>57</v>
      </c>
      <c r="C130" s="16">
        <v>9</v>
      </c>
      <c r="D130" s="4" t="s">
        <v>153</v>
      </c>
    </row>
    <row r="131" spans="1:4">
      <c r="A131" s="14" t="s">
        <v>56</v>
      </c>
      <c r="B131" s="12" t="s">
        <v>57</v>
      </c>
      <c r="C131" s="16">
        <v>10</v>
      </c>
      <c r="D131" s="4" t="s">
        <v>140</v>
      </c>
    </row>
    <row r="132" spans="1:4">
      <c r="A132" s="14" t="s">
        <v>56</v>
      </c>
      <c r="B132" s="12" t="s">
        <v>57</v>
      </c>
      <c r="C132" s="16">
        <v>11</v>
      </c>
      <c r="D132" s="4" t="s">
        <v>138</v>
      </c>
    </row>
    <row r="133" spans="1:4">
      <c r="A133" s="14" t="s">
        <v>56</v>
      </c>
      <c r="B133" s="12" t="s">
        <v>57</v>
      </c>
      <c r="C133" s="16">
        <v>12</v>
      </c>
      <c r="D133" s="4" t="s">
        <v>139</v>
      </c>
    </row>
    <row r="134" spans="1:4">
      <c r="A134" s="14" t="s">
        <v>60</v>
      </c>
      <c r="B134" s="12" t="s">
        <v>61</v>
      </c>
      <c r="C134" s="16">
        <v>1</v>
      </c>
      <c r="D134" s="4" t="s">
        <v>193</v>
      </c>
    </row>
    <row r="135" spans="1:4">
      <c r="A135" s="14" t="s">
        <v>60</v>
      </c>
      <c r="B135" s="12" t="s">
        <v>61</v>
      </c>
      <c r="C135" s="16">
        <v>2</v>
      </c>
      <c r="D135" s="4" t="s">
        <v>194</v>
      </c>
    </row>
    <row r="136" spans="1:4">
      <c r="A136" s="14" t="s">
        <v>60</v>
      </c>
      <c r="B136" s="12" t="s">
        <v>61</v>
      </c>
      <c r="C136" s="16">
        <v>3</v>
      </c>
      <c r="D136" s="4" t="s">
        <v>184</v>
      </c>
    </row>
    <row r="137" spans="1:4">
      <c r="A137" s="14" t="s">
        <v>60</v>
      </c>
      <c r="B137" s="12" t="s">
        <v>61</v>
      </c>
      <c r="C137" s="16">
        <v>4</v>
      </c>
      <c r="D137" s="4" t="s">
        <v>195</v>
      </c>
    </row>
    <row r="138" spans="1:4">
      <c r="A138" s="14" t="s">
        <v>60</v>
      </c>
      <c r="B138" s="12" t="s">
        <v>61</v>
      </c>
      <c r="C138" s="16">
        <v>5</v>
      </c>
      <c r="D138" s="4" t="s">
        <v>160</v>
      </c>
    </row>
    <row r="139" spans="1:4">
      <c r="A139" s="14" t="s">
        <v>60</v>
      </c>
      <c r="B139" s="12" t="s">
        <v>61</v>
      </c>
      <c r="C139" s="16">
        <v>6</v>
      </c>
      <c r="D139" s="4" t="s">
        <v>152</v>
      </c>
    </row>
    <row r="140" spans="1:4">
      <c r="A140" s="14" t="s">
        <v>60</v>
      </c>
      <c r="B140" s="12" t="s">
        <v>61</v>
      </c>
      <c r="C140" s="16">
        <v>7</v>
      </c>
      <c r="D140" s="4" t="s">
        <v>157</v>
      </c>
    </row>
    <row r="141" spans="1:4">
      <c r="A141" s="14" t="s">
        <v>60</v>
      </c>
      <c r="B141" s="12" t="s">
        <v>61</v>
      </c>
      <c r="C141" s="16">
        <v>8</v>
      </c>
      <c r="D141" s="4" t="s">
        <v>196</v>
      </c>
    </row>
    <row r="142" spans="1:4">
      <c r="A142" s="14" t="s">
        <v>60</v>
      </c>
      <c r="B142" s="12" t="s">
        <v>61</v>
      </c>
      <c r="C142" s="16">
        <v>9</v>
      </c>
      <c r="D142" s="4" t="s">
        <v>105</v>
      </c>
    </row>
    <row r="143" spans="1:4">
      <c r="A143" s="14" t="s">
        <v>60</v>
      </c>
      <c r="B143" s="12" t="s">
        <v>61</v>
      </c>
      <c r="C143" s="16">
        <v>10</v>
      </c>
      <c r="D143" s="4" t="s">
        <v>104</v>
      </c>
    </row>
    <row r="144" spans="1:4">
      <c r="A144" s="14" t="s">
        <v>60</v>
      </c>
      <c r="B144" s="12" t="s">
        <v>61</v>
      </c>
      <c r="C144" s="16">
        <v>11</v>
      </c>
      <c r="D144" s="4" t="s">
        <v>95</v>
      </c>
    </row>
    <row r="145" spans="1:4">
      <c r="A145" s="14" t="s">
        <v>60</v>
      </c>
      <c r="B145" s="12" t="s">
        <v>61</v>
      </c>
      <c r="C145" s="16">
        <v>12</v>
      </c>
      <c r="D145" s="4" t="s">
        <v>197</v>
      </c>
    </row>
    <row r="146" spans="1:4">
      <c r="A146" s="14" t="s">
        <v>60</v>
      </c>
      <c r="B146" s="12" t="s">
        <v>61</v>
      </c>
      <c r="C146" s="16">
        <v>13</v>
      </c>
      <c r="D146" s="4" t="s">
        <v>122</v>
      </c>
    </row>
    <row r="147" spans="1:4">
      <c r="A147" s="14" t="s">
        <v>64</v>
      </c>
      <c r="B147" s="12" t="s">
        <v>65</v>
      </c>
      <c r="C147" s="16">
        <v>1</v>
      </c>
      <c r="D147" s="4" t="s">
        <v>183</v>
      </c>
    </row>
    <row r="148" spans="1:4">
      <c r="A148" s="14" t="s">
        <v>64</v>
      </c>
      <c r="B148" s="12" t="s">
        <v>65</v>
      </c>
      <c r="C148" s="16">
        <v>2</v>
      </c>
      <c r="D148" s="4" t="s">
        <v>171</v>
      </c>
    </row>
    <row r="149" spans="1:4">
      <c r="A149" s="14" t="s">
        <v>64</v>
      </c>
      <c r="B149" s="12" t="s">
        <v>65</v>
      </c>
      <c r="C149" s="16">
        <v>3</v>
      </c>
      <c r="D149" s="4" t="s">
        <v>198</v>
      </c>
    </row>
    <row r="150" spans="1:4">
      <c r="A150" s="14" t="s">
        <v>64</v>
      </c>
      <c r="B150" s="12" t="s">
        <v>65</v>
      </c>
      <c r="C150" s="16">
        <v>4</v>
      </c>
      <c r="D150" s="4" t="s">
        <v>199</v>
      </c>
    </row>
    <row r="151" spans="1:4">
      <c r="A151" s="14" t="s">
        <v>64</v>
      </c>
      <c r="B151" s="12" t="s">
        <v>65</v>
      </c>
      <c r="C151" s="16">
        <v>5</v>
      </c>
      <c r="D151" s="4" t="s">
        <v>177</v>
      </c>
    </row>
    <row r="152" spans="1:4">
      <c r="A152" s="14" t="s">
        <v>64</v>
      </c>
      <c r="B152" s="12" t="s">
        <v>65</v>
      </c>
      <c r="C152" s="16">
        <v>6</v>
      </c>
      <c r="D152" s="4" t="s">
        <v>170</v>
      </c>
    </row>
    <row r="153" spans="1:4">
      <c r="A153" s="14" t="s">
        <v>64</v>
      </c>
      <c r="B153" s="12" t="s">
        <v>65</v>
      </c>
      <c r="C153" s="16">
        <v>7</v>
      </c>
      <c r="D153" s="4" t="s">
        <v>200</v>
      </c>
    </row>
    <row r="154" spans="1:4">
      <c r="A154" s="14" t="s">
        <v>64</v>
      </c>
      <c r="B154" s="12" t="s">
        <v>65</v>
      </c>
      <c r="C154" s="16">
        <v>8</v>
      </c>
      <c r="D154" s="4" t="s">
        <v>179</v>
      </c>
    </row>
    <row r="155" spans="1:4">
      <c r="A155" s="14" t="s">
        <v>64</v>
      </c>
      <c r="B155" s="12" t="s">
        <v>65</v>
      </c>
      <c r="C155" s="16">
        <v>9</v>
      </c>
      <c r="D155" s="4" t="s">
        <v>174</v>
      </c>
    </row>
    <row r="156" spans="1:4">
      <c r="A156" s="14" t="s">
        <v>64</v>
      </c>
      <c r="B156" s="12" t="s">
        <v>65</v>
      </c>
      <c r="C156" s="16">
        <v>10</v>
      </c>
      <c r="D156" s="4" t="s">
        <v>201</v>
      </c>
    </row>
    <row r="157" spans="1:4">
      <c r="A157" s="14" t="s">
        <v>64</v>
      </c>
      <c r="B157" s="12" t="s">
        <v>65</v>
      </c>
      <c r="C157" s="16">
        <v>11</v>
      </c>
      <c r="D157" s="4" t="s">
        <v>202</v>
      </c>
    </row>
    <row r="158" spans="1:4">
      <c r="A158" s="14" t="s">
        <v>64</v>
      </c>
      <c r="B158" s="12" t="s">
        <v>65</v>
      </c>
      <c r="C158" s="16">
        <v>12</v>
      </c>
      <c r="D158" s="4" t="s">
        <v>203</v>
      </c>
    </row>
    <row r="159" spans="1:4">
      <c r="A159" s="14" t="s">
        <v>64</v>
      </c>
      <c r="B159" s="12" t="s">
        <v>65</v>
      </c>
      <c r="C159" s="16">
        <v>13</v>
      </c>
      <c r="D159" s="4" t="s">
        <v>204</v>
      </c>
    </row>
    <row r="160" spans="1:4">
      <c r="A160" s="14" t="s">
        <v>68</v>
      </c>
      <c r="B160" s="12" t="s">
        <v>69</v>
      </c>
      <c r="C160" s="16">
        <v>1</v>
      </c>
      <c r="D160" s="4" t="s">
        <v>205</v>
      </c>
    </row>
    <row r="161" spans="1:4">
      <c r="A161" s="14" t="s">
        <v>68</v>
      </c>
      <c r="B161" s="12" t="s">
        <v>69</v>
      </c>
      <c r="C161" s="16">
        <v>2</v>
      </c>
      <c r="D161" s="4" t="s">
        <v>123</v>
      </c>
    </row>
    <row r="162" spans="1:4">
      <c r="A162" s="14" t="s">
        <v>68</v>
      </c>
      <c r="B162" s="12" t="s">
        <v>69</v>
      </c>
      <c r="C162" s="16">
        <v>3</v>
      </c>
      <c r="D162" s="4" t="s">
        <v>175</v>
      </c>
    </row>
    <row r="163" spans="1:4">
      <c r="A163" s="14" t="s">
        <v>68</v>
      </c>
      <c r="B163" s="12" t="s">
        <v>69</v>
      </c>
      <c r="C163" s="16">
        <v>4</v>
      </c>
      <c r="D163" s="4" t="s">
        <v>174</v>
      </c>
    </row>
    <row r="164" spans="1:4">
      <c r="A164" s="14" t="s">
        <v>68</v>
      </c>
      <c r="B164" s="12" t="s">
        <v>69</v>
      </c>
      <c r="C164" s="16">
        <v>5</v>
      </c>
      <c r="D164" s="4" t="s">
        <v>206</v>
      </c>
    </row>
    <row r="165" spans="1:4">
      <c r="A165" s="14" t="s">
        <v>68</v>
      </c>
      <c r="B165" s="12" t="s">
        <v>69</v>
      </c>
      <c r="C165" s="16">
        <v>6</v>
      </c>
      <c r="D165" s="4" t="s">
        <v>207</v>
      </c>
    </row>
    <row r="166" spans="1:4">
      <c r="A166" s="14" t="s">
        <v>68</v>
      </c>
      <c r="B166" s="12" t="s">
        <v>69</v>
      </c>
      <c r="C166" s="16">
        <v>7</v>
      </c>
      <c r="D166" s="4" t="s">
        <v>208</v>
      </c>
    </row>
    <row r="167" spans="1:4">
      <c r="A167" s="14" t="s">
        <v>68</v>
      </c>
      <c r="B167" s="12" t="s">
        <v>69</v>
      </c>
      <c r="C167" s="16">
        <v>8</v>
      </c>
      <c r="D167" s="4" t="s">
        <v>209</v>
      </c>
    </row>
    <row r="168" spans="1:4">
      <c r="A168" s="14" t="s">
        <v>68</v>
      </c>
      <c r="B168" s="12" t="s">
        <v>69</v>
      </c>
      <c r="C168" s="16">
        <v>9</v>
      </c>
      <c r="D168" s="4" t="s">
        <v>128</v>
      </c>
    </row>
    <row r="169" spans="1:4">
      <c r="A169" s="14" t="s">
        <v>68</v>
      </c>
      <c r="B169" s="12" t="s">
        <v>69</v>
      </c>
      <c r="C169" s="16">
        <v>10</v>
      </c>
      <c r="D169" s="4" t="s">
        <v>210</v>
      </c>
    </row>
    <row r="170" spans="1:4">
      <c r="A170" s="14" t="s">
        <v>68</v>
      </c>
      <c r="B170" s="12" t="s">
        <v>69</v>
      </c>
      <c r="C170" s="16">
        <v>11</v>
      </c>
      <c r="D170" s="4" t="s">
        <v>182</v>
      </c>
    </row>
    <row r="171" spans="1:4">
      <c r="A171" s="14" t="s">
        <v>68</v>
      </c>
      <c r="B171" s="12" t="s">
        <v>69</v>
      </c>
      <c r="C171" s="16">
        <v>12</v>
      </c>
      <c r="D171" s="4" t="s">
        <v>178</v>
      </c>
    </row>
    <row r="172" spans="1:4">
      <c r="A172" s="14" t="s">
        <v>68</v>
      </c>
      <c r="B172" s="12" t="s">
        <v>69</v>
      </c>
      <c r="C172" s="16">
        <v>13</v>
      </c>
      <c r="D172" s="4" t="s">
        <v>211</v>
      </c>
    </row>
    <row r="173" spans="1:4">
      <c r="A173" s="14" t="s">
        <v>68</v>
      </c>
      <c r="B173" s="12" t="s">
        <v>69</v>
      </c>
      <c r="C173" s="16">
        <v>14</v>
      </c>
      <c r="D173" s="4" t="s">
        <v>212</v>
      </c>
    </row>
    <row r="174" spans="1:4">
      <c r="A174" s="14" t="s">
        <v>72</v>
      </c>
      <c r="B174" s="12" t="s">
        <v>73</v>
      </c>
      <c r="C174" s="16">
        <v>1</v>
      </c>
      <c r="D174" s="4" t="s">
        <v>155</v>
      </c>
    </row>
    <row r="175" spans="1:4">
      <c r="A175" s="14" t="s">
        <v>72</v>
      </c>
      <c r="B175" s="12" t="s">
        <v>73</v>
      </c>
      <c r="C175" s="16">
        <v>2</v>
      </c>
      <c r="D175" s="4" t="s">
        <v>124</v>
      </c>
    </row>
    <row r="176" spans="1:4">
      <c r="A176" s="14" t="s">
        <v>72</v>
      </c>
      <c r="B176" s="12" t="s">
        <v>73</v>
      </c>
      <c r="C176" s="16">
        <v>3</v>
      </c>
      <c r="D176" s="4" t="s">
        <v>125</v>
      </c>
    </row>
    <row r="177" spans="1:4">
      <c r="A177" s="14" t="s">
        <v>72</v>
      </c>
      <c r="B177" s="12" t="s">
        <v>73</v>
      </c>
      <c r="C177" s="16">
        <v>4</v>
      </c>
      <c r="D177" s="4" t="s">
        <v>213</v>
      </c>
    </row>
    <row r="178" spans="1:4">
      <c r="A178" s="14" t="s">
        <v>72</v>
      </c>
      <c r="B178" s="12" t="s">
        <v>73</v>
      </c>
      <c r="C178" s="16">
        <v>5</v>
      </c>
      <c r="D178" s="4" t="s">
        <v>126</v>
      </c>
    </row>
    <row r="179" spans="1:4">
      <c r="A179" s="14" t="s">
        <v>72</v>
      </c>
      <c r="B179" s="12" t="s">
        <v>73</v>
      </c>
      <c r="C179" s="16">
        <v>6</v>
      </c>
      <c r="D179" s="4" t="s">
        <v>214</v>
      </c>
    </row>
    <row r="180" spans="1:4">
      <c r="A180" s="14" t="s">
        <v>72</v>
      </c>
      <c r="B180" s="12" t="s">
        <v>73</v>
      </c>
      <c r="C180" s="16">
        <v>7</v>
      </c>
      <c r="D180" s="4" t="s">
        <v>215</v>
      </c>
    </row>
    <row r="181" spans="1:4">
      <c r="A181" s="14" t="s">
        <v>72</v>
      </c>
      <c r="B181" s="12" t="s">
        <v>73</v>
      </c>
      <c r="C181" s="16">
        <v>8</v>
      </c>
      <c r="D181" s="4" t="s">
        <v>198</v>
      </c>
    </row>
    <row r="182" spans="1:4">
      <c r="A182" s="14" t="s">
        <v>72</v>
      </c>
      <c r="B182" s="12" t="s">
        <v>73</v>
      </c>
      <c r="C182" s="16">
        <v>9</v>
      </c>
      <c r="D182" s="4" t="s">
        <v>200</v>
      </c>
    </row>
    <row r="183" spans="1:4">
      <c r="A183" s="14" t="s">
        <v>72</v>
      </c>
      <c r="B183" s="12" t="s">
        <v>73</v>
      </c>
      <c r="C183" s="16">
        <v>10</v>
      </c>
      <c r="D183" s="4" t="s">
        <v>142</v>
      </c>
    </row>
    <row r="184" spans="1:4">
      <c r="A184" s="14" t="s">
        <v>72</v>
      </c>
      <c r="B184" s="12" t="s">
        <v>73</v>
      </c>
      <c r="C184" s="16">
        <v>11</v>
      </c>
      <c r="D184" s="4" t="s">
        <v>141</v>
      </c>
    </row>
    <row r="185" spans="1:4">
      <c r="A185" s="14" t="s">
        <v>72</v>
      </c>
      <c r="B185" s="12" t="s">
        <v>73</v>
      </c>
      <c r="C185" s="16">
        <v>12</v>
      </c>
      <c r="D185" s="4" t="s">
        <v>117</v>
      </c>
    </row>
    <row r="186" spans="1:4">
      <c r="A186" s="14" t="s">
        <v>72</v>
      </c>
      <c r="B186" s="12" t="s">
        <v>73</v>
      </c>
      <c r="C186" s="16">
        <v>13</v>
      </c>
      <c r="D186" s="4" t="s">
        <v>118</v>
      </c>
    </row>
    <row r="187" spans="1:4">
      <c r="A187" s="14" t="s">
        <v>76</v>
      </c>
      <c r="B187" s="12" t="s">
        <v>77</v>
      </c>
      <c r="C187" s="16">
        <v>1</v>
      </c>
      <c r="D187" s="4" t="s">
        <v>216</v>
      </c>
    </row>
    <row r="188" spans="1:4">
      <c r="A188" s="14" t="s">
        <v>76</v>
      </c>
      <c r="B188" s="12" t="s">
        <v>77</v>
      </c>
      <c r="C188" s="16">
        <v>2</v>
      </c>
      <c r="D188" s="4" t="s">
        <v>217</v>
      </c>
    </row>
    <row r="189" spans="1:4">
      <c r="A189" s="14" t="s">
        <v>76</v>
      </c>
      <c r="B189" s="12" t="s">
        <v>77</v>
      </c>
      <c r="C189" s="16">
        <v>3</v>
      </c>
      <c r="D189" s="4" t="s">
        <v>218</v>
      </c>
    </row>
    <row r="190" spans="1:4">
      <c r="A190" s="14" t="s">
        <v>76</v>
      </c>
      <c r="B190" s="12" t="s">
        <v>77</v>
      </c>
      <c r="C190" s="16">
        <v>4</v>
      </c>
      <c r="D190" s="4" t="s">
        <v>219</v>
      </c>
    </row>
    <row r="191" spans="1:4">
      <c r="A191" s="14" t="s">
        <v>76</v>
      </c>
      <c r="B191" s="12" t="s">
        <v>77</v>
      </c>
      <c r="C191" s="16">
        <v>5</v>
      </c>
      <c r="D191" s="4" t="s">
        <v>220</v>
      </c>
    </row>
    <row r="192" spans="1:4">
      <c r="A192" s="14" t="s">
        <v>76</v>
      </c>
      <c r="B192" s="12" t="s">
        <v>77</v>
      </c>
      <c r="C192" s="16">
        <v>6</v>
      </c>
      <c r="D192" s="4" t="s">
        <v>221</v>
      </c>
    </row>
    <row r="193" spans="1:4">
      <c r="A193" s="14" t="s">
        <v>76</v>
      </c>
      <c r="B193" s="12" t="s">
        <v>77</v>
      </c>
      <c r="C193" s="16">
        <v>7</v>
      </c>
      <c r="D193" s="4" t="s">
        <v>222</v>
      </c>
    </row>
    <row r="194" spans="1:4">
      <c r="A194" s="14" t="s">
        <v>76</v>
      </c>
      <c r="B194" s="12" t="s">
        <v>77</v>
      </c>
      <c r="C194" s="16">
        <v>8</v>
      </c>
      <c r="D194" s="4" t="s">
        <v>223</v>
      </c>
    </row>
    <row r="195" spans="1:4">
      <c r="A195" s="14" t="s">
        <v>76</v>
      </c>
      <c r="B195" s="12" t="s">
        <v>77</v>
      </c>
      <c r="C195" s="16">
        <v>9</v>
      </c>
      <c r="D195" s="4" t="s">
        <v>224</v>
      </c>
    </row>
    <row r="196" spans="1:4">
      <c r="A196" s="14" t="s">
        <v>76</v>
      </c>
      <c r="B196" s="12" t="s">
        <v>77</v>
      </c>
      <c r="C196" s="16">
        <v>10</v>
      </c>
      <c r="D196" s="4" t="s">
        <v>225</v>
      </c>
    </row>
    <row r="197" spans="1:4">
      <c r="A197" s="14" t="s">
        <v>76</v>
      </c>
      <c r="B197" s="12" t="s">
        <v>77</v>
      </c>
      <c r="C197" s="16">
        <v>11</v>
      </c>
      <c r="D197" s="4" t="s">
        <v>226</v>
      </c>
    </row>
    <row r="198" spans="1:4">
      <c r="A198" s="14" t="s">
        <v>76</v>
      </c>
      <c r="B198" s="12" t="s">
        <v>77</v>
      </c>
      <c r="C198" s="16">
        <v>12</v>
      </c>
      <c r="D198" s="4" t="s">
        <v>227</v>
      </c>
    </row>
    <row r="199" spans="1:4">
      <c r="A199" s="14" t="s">
        <v>76</v>
      </c>
      <c r="B199" s="12" t="s">
        <v>77</v>
      </c>
      <c r="C199" s="16">
        <v>13</v>
      </c>
      <c r="D199" s="4" t="s">
        <v>228</v>
      </c>
    </row>
    <row r="200" spans="1:4">
      <c r="A200" s="14" t="s">
        <v>76</v>
      </c>
      <c r="B200" s="12" t="s">
        <v>77</v>
      </c>
      <c r="C200" s="16">
        <v>14</v>
      </c>
      <c r="D200" s="4" t="s">
        <v>229</v>
      </c>
    </row>
    <row r="201" spans="1:4">
      <c r="A201" s="14" t="s">
        <v>76</v>
      </c>
      <c r="B201" s="12" t="s">
        <v>77</v>
      </c>
      <c r="C201" s="16">
        <v>15</v>
      </c>
      <c r="D201" s="4" t="s">
        <v>230</v>
      </c>
    </row>
    <row r="202" spans="1:4">
      <c r="A202" s="14" t="s">
        <v>76</v>
      </c>
      <c r="B202" s="12" t="s">
        <v>77</v>
      </c>
      <c r="C202" s="16">
        <v>16</v>
      </c>
      <c r="D202" s="4" t="s">
        <v>231</v>
      </c>
    </row>
    <row r="203" spans="1:4">
      <c r="A203" s="14" t="s">
        <v>76</v>
      </c>
      <c r="B203" s="12" t="s">
        <v>77</v>
      </c>
      <c r="C203" s="16">
        <v>17</v>
      </c>
      <c r="D203" s="4" t="s">
        <v>232</v>
      </c>
    </row>
    <row r="204" spans="1:4">
      <c r="A204" s="14" t="s">
        <v>80</v>
      </c>
      <c r="B204" s="12" t="s">
        <v>81</v>
      </c>
      <c r="C204" s="16">
        <v>1</v>
      </c>
      <c r="D204" s="4" t="s">
        <v>233</v>
      </c>
    </row>
    <row r="205" spans="1:4">
      <c r="A205" s="14" t="s">
        <v>80</v>
      </c>
      <c r="B205" s="12" t="s">
        <v>81</v>
      </c>
      <c r="C205" s="16">
        <v>2</v>
      </c>
      <c r="D205" s="4" t="s">
        <v>166</v>
      </c>
    </row>
    <row r="206" spans="1:4">
      <c r="A206" s="14" t="s">
        <v>80</v>
      </c>
      <c r="B206" s="12" t="s">
        <v>81</v>
      </c>
      <c r="C206" s="16">
        <v>3</v>
      </c>
      <c r="D206" s="4" t="s">
        <v>234</v>
      </c>
    </row>
    <row r="207" spans="1:4">
      <c r="A207" s="14" t="s">
        <v>80</v>
      </c>
      <c r="B207" s="12" t="s">
        <v>81</v>
      </c>
      <c r="C207" s="16">
        <v>4</v>
      </c>
      <c r="D207" s="4" t="s">
        <v>159</v>
      </c>
    </row>
    <row r="208" spans="1:4">
      <c r="A208" s="14" t="s">
        <v>80</v>
      </c>
      <c r="B208" s="12" t="s">
        <v>81</v>
      </c>
      <c r="C208" s="16">
        <v>5</v>
      </c>
      <c r="D208" s="4" t="s">
        <v>235</v>
      </c>
    </row>
    <row r="209" spans="1:4">
      <c r="A209" s="14" t="s">
        <v>80</v>
      </c>
      <c r="B209" s="12" t="s">
        <v>81</v>
      </c>
      <c r="C209" s="16">
        <v>6</v>
      </c>
      <c r="D209" s="4" t="s">
        <v>160</v>
      </c>
    </row>
    <row r="210" spans="1:4">
      <c r="A210" s="14" t="s">
        <v>80</v>
      </c>
      <c r="B210" s="12" t="s">
        <v>81</v>
      </c>
      <c r="C210" s="16">
        <v>7</v>
      </c>
      <c r="D210" s="4" t="s">
        <v>236</v>
      </c>
    </row>
    <row r="211" spans="1:4">
      <c r="A211" s="14" t="s">
        <v>80</v>
      </c>
      <c r="B211" s="12" t="s">
        <v>81</v>
      </c>
      <c r="C211" s="16">
        <v>8</v>
      </c>
      <c r="D211" s="4" t="s">
        <v>157</v>
      </c>
    </row>
    <row r="212" spans="1:4">
      <c r="A212" s="14" t="s">
        <v>80</v>
      </c>
      <c r="B212" s="12" t="s">
        <v>81</v>
      </c>
      <c r="C212" s="16">
        <v>9</v>
      </c>
      <c r="D212" s="4" t="s">
        <v>98</v>
      </c>
    </row>
    <row r="213" spans="1:4">
      <c r="A213" s="14" t="s">
        <v>80</v>
      </c>
      <c r="B213" s="12" t="s">
        <v>81</v>
      </c>
      <c r="C213" s="16">
        <v>10</v>
      </c>
      <c r="D213" s="4" t="s">
        <v>135</v>
      </c>
    </row>
    <row r="214" spans="1:4">
      <c r="A214" s="14" t="s">
        <v>80</v>
      </c>
      <c r="B214" s="12" t="s">
        <v>81</v>
      </c>
      <c r="C214" s="16">
        <v>11</v>
      </c>
      <c r="D214" s="4" t="s">
        <v>143</v>
      </c>
    </row>
    <row r="215" spans="1:4">
      <c r="A215" s="14" t="s">
        <v>80</v>
      </c>
      <c r="B215" s="12" t="s">
        <v>81</v>
      </c>
      <c r="C215" s="16">
        <v>12</v>
      </c>
      <c r="D215" s="4" t="s">
        <v>129</v>
      </c>
    </row>
    <row r="216" spans="1:4">
      <c r="A216" s="14" t="s">
        <v>84</v>
      </c>
      <c r="B216" s="12" t="s">
        <v>85</v>
      </c>
      <c r="C216" s="16">
        <v>1</v>
      </c>
      <c r="D216" s="4" t="s">
        <v>237</v>
      </c>
    </row>
    <row r="217" spans="1:4">
      <c r="A217" s="14" t="s">
        <v>84</v>
      </c>
      <c r="B217" s="12" t="s">
        <v>85</v>
      </c>
      <c r="C217" s="16">
        <v>2</v>
      </c>
      <c r="D217" s="4" t="s">
        <v>238</v>
      </c>
    </row>
    <row r="218" spans="1:4">
      <c r="A218" s="14" t="s">
        <v>84</v>
      </c>
      <c r="B218" s="12" t="s">
        <v>85</v>
      </c>
      <c r="C218" s="16">
        <v>3</v>
      </c>
      <c r="D218" s="4" t="s">
        <v>239</v>
      </c>
    </row>
    <row r="219" spans="1:4">
      <c r="A219" s="14" t="s">
        <v>84</v>
      </c>
      <c r="B219" s="12" t="s">
        <v>85</v>
      </c>
      <c r="C219" s="16">
        <v>4</v>
      </c>
      <c r="D219" s="4" t="s">
        <v>240</v>
      </c>
    </row>
    <row r="220" spans="1:4">
      <c r="A220" s="14" t="s">
        <v>84</v>
      </c>
      <c r="B220" s="12" t="s">
        <v>85</v>
      </c>
      <c r="C220" s="16">
        <v>5</v>
      </c>
      <c r="D220" s="4" t="s">
        <v>241</v>
      </c>
    </row>
    <row r="221" spans="1:4">
      <c r="A221" s="14" t="s">
        <v>84</v>
      </c>
      <c r="B221" s="12" t="s">
        <v>85</v>
      </c>
      <c r="C221" s="16">
        <v>6</v>
      </c>
      <c r="D221" s="4" t="s">
        <v>242</v>
      </c>
    </row>
    <row r="222" spans="1:4">
      <c r="A222" s="14" t="s">
        <v>84</v>
      </c>
      <c r="B222" s="12" t="s">
        <v>85</v>
      </c>
      <c r="C222" s="16">
        <v>7</v>
      </c>
      <c r="D222" s="4" t="s">
        <v>243</v>
      </c>
    </row>
    <row r="223" spans="1:4">
      <c r="A223" s="14" t="s">
        <v>84</v>
      </c>
      <c r="B223" s="12" t="s">
        <v>85</v>
      </c>
      <c r="C223" s="16">
        <v>8</v>
      </c>
      <c r="D223" s="4" t="s">
        <v>244</v>
      </c>
    </row>
    <row r="224" spans="1:4">
      <c r="A224" s="14" t="s">
        <v>84</v>
      </c>
      <c r="B224" s="12" t="s">
        <v>85</v>
      </c>
      <c r="C224" s="16">
        <v>9</v>
      </c>
      <c r="D224" s="4" t="s">
        <v>245</v>
      </c>
    </row>
    <row r="225" spans="1:4">
      <c r="A225" s="14" t="s">
        <v>84</v>
      </c>
      <c r="B225" s="12" t="s">
        <v>85</v>
      </c>
      <c r="C225" s="16">
        <v>10</v>
      </c>
      <c r="D225" s="4" t="s">
        <v>246</v>
      </c>
    </row>
    <row r="226" spans="1:4">
      <c r="A226" s="14" t="s">
        <v>84</v>
      </c>
      <c r="B226" s="12" t="s">
        <v>85</v>
      </c>
      <c r="C226" s="16">
        <v>11</v>
      </c>
      <c r="D226" s="4" t="s">
        <v>247</v>
      </c>
    </row>
    <row r="227" spans="1:4">
      <c r="A227" s="14" t="s">
        <v>84</v>
      </c>
      <c r="B227" s="12" t="s">
        <v>85</v>
      </c>
      <c r="C227" s="16">
        <v>12</v>
      </c>
      <c r="D227" s="4" t="s">
        <v>248</v>
      </c>
    </row>
    <row r="228" spans="1:4">
      <c r="A228" s="14" t="s">
        <v>84</v>
      </c>
      <c r="B228" s="12" t="s">
        <v>85</v>
      </c>
      <c r="C228" s="16">
        <v>13</v>
      </c>
      <c r="D228" s="4" t="s">
        <v>249</v>
      </c>
    </row>
    <row r="229" spans="1:4">
      <c r="A229" s="14" t="s">
        <v>84</v>
      </c>
      <c r="B229" s="12" t="s">
        <v>85</v>
      </c>
      <c r="C229" s="16">
        <v>14</v>
      </c>
      <c r="D229" s="4" t="s">
        <v>250</v>
      </c>
    </row>
    <row r="230" spans="1:4">
      <c r="A230" s="14" t="s">
        <v>84</v>
      </c>
      <c r="B230" s="12" t="s">
        <v>85</v>
      </c>
      <c r="C230" s="16">
        <v>15</v>
      </c>
      <c r="D230" s="4" t="s">
        <v>251</v>
      </c>
    </row>
    <row r="231" spans="1:4">
      <c r="A231" s="14" t="s">
        <v>88</v>
      </c>
      <c r="B231" s="12" t="s">
        <v>89</v>
      </c>
      <c r="C231" s="16">
        <v>1</v>
      </c>
      <c r="D231" s="4" t="s">
        <v>115</v>
      </c>
    </row>
    <row r="232" spans="1:4">
      <c r="A232" s="14" t="s">
        <v>88</v>
      </c>
      <c r="B232" s="12" t="s">
        <v>89</v>
      </c>
      <c r="C232" s="16">
        <v>2</v>
      </c>
      <c r="D232" s="4" t="s">
        <v>116</v>
      </c>
    </row>
    <row r="233" spans="1:4">
      <c r="A233" s="14" t="s">
        <v>88</v>
      </c>
      <c r="B233" s="12" t="s">
        <v>89</v>
      </c>
      <c r="C233" s="16">
        <v>3</v>
      </c>
      <c r="D233" s="4" t="s">
        <v>117</v>
      </c>
    </row>
    <row r="234" spans="1:4">
      <c r="A234" s="14" t="s">
        <v>88</v>
      </c>
      <c r="B234" s="12" t="s">
        <v>89</v>
      </c>
      <c r="C234" s="16">
        <v>4</v>
      </c>
      <c r="D234" s="4" t="s">
        <v>252</v>
      </c>
    </row>
    <row r="235" spans="1:4">
      <c r="A235" s="14" t="s">
        <v>88</v>
      </c>
      <c r="B235" s="12" t="s">
        <v>89</v>
      </c>
      <c r="C235" s="16">
        <v>5</v>
      </c>
      <c r="D235" s="4" t="s">
        <v>118</v>
      </c>
    </row>
    <row r="236" spans="1:4">
      <c r="A236" s="14" t="s">
        <v>88</v>
      </c>
      <c r="B236" s="12" t="s">
        <v>89</v>
      </c>
      <c r="C236" s="16">
        <v>6</v>
      </c>
      <c r="D236" s="4" t="s">
        <v>253</v>
      </c>
    </row>
    <row r="237" spans="1:4">
      <c r="A237" s="14" t="s">
        <v>88</v>
      </c>
      <c r="B237" s="12" t="s">
        <v>89</v>
      </c>
      <c r="C237" s="16">
        <v>7</v>
      </c>
      <c r="D237" s="4" t="s">
        <v>254</v>
      </c>
    </row>
    <row r="238" spans="1:4">
      <c r="A238" s="14" t="s">
        <v>88</v>
      </c>
      <c r="B238" s="12" t="s">
        <v>89</v>
      </c>
      <c r="C238" s="16">
        <v>8</v>
      </c>
      <c r="D238" s="4" t="s">
        <v>255</v>
      </c>
    </row>
    <row r="239" spans="1:4">
      <c r="A239" s="14" t="s">
        <v>88</v>
      </c>
      <c r="B239" s="12" t="s">
        <v>89</v>
      </c>
      <c r="C239" s="16">
        <v>9</v>
      </c>
      <c r="D239" s="4" t="s">
        <v>256</v>
      </c>
    </row>
    <row r="240" spans="1:4">
      <c r="A240" s="14" t="s">
        <v>88</v>
      </c>
      <c r="B240" s="12" t="s">
        <v>89</v>
      </c>
      <c r="C240" s="16">
        <v>10</v>
      </c>
      <c r="D240" s="4" t="s">
        <v>257</v>
      </c>
    </row>
    <row r="241" spans="1:4">
      <c r="A241" s="14" t="s">
        <v>88</v>
      </c>
      <c r="B241" s="12" t="s">
        <v>89</v>
      </c>
      <c r="C241" s="16">
        <v>11</v>
      </c>
      <c r="D241" s="4" t="s">
        <v>258</v>
      </c>
    </row>
    <row r="242" spans="1:4">
      <c r="A242" s="15" t="s">
        <v>88</v>
      </c>
      <c r="B242" s="13" t="s">
        <v>89</v>
      </c>
      <c r="C242" s="17">
        <v>12</v>
      </c>
      <c r="D242" s="6" t="s">
        <v>259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topLeftCell="A11" zoomScale="81" zoomScaleNormal="81" workbookViewId="0">
      <selection sqref="A1:E1"/>
    </sheetView>
  </sheetViews>
  <sheetFormatPr defaultRowHeight="13.8"/>
  <cols>
    <col min="1" max="1" width="12" customWidth="1"/>
    <col min="2" max="3" width="48" customWidth="1"/>
    <col min="4" max="4" width="12" customWidth="1"/>
    <col min="5" max="5" width="95" customWidth="1"/>
  </cols>
  <sheetData>
    <row r="1" spans="1:5" ht="28.05" customHeight="1">
      <c r="A1" s="33" t="s">
        <v>260</v>
      </c>
      <c r="B1" s="33"/>
      <c r="C1" s="33"/>
      <c r="D1" s="33"/>
      <c r="E1" s="33"/>
    </row>
    <row r="2" spans="1:5" ht="30" customHeight="1">
      <c r="A2" s="34" t="s">
        <v>18</v>
      </c>
      <c r="B2" s="34"/>
      <c r="C2" s="34"/>
      <c r="D2" s="34"/>
      <c r="E2" s="34"/>
    </row>
    <row r="3" spans="1:5" ht="28.05" customHeight="1">
      <c r="A3" s="26" t="s">
        <v>19</v>
      </c>
      <c r="B3" s="27" t="s">
        <v>20</v>
      </c>
      <c r="C3" s="27" t="s">
        <v>21</v>
      </c>
      <c r="D3" s="27" t="s">
        <v>22</v>
      </c>
      <c r="E3" s="28" t="s">
        <v>23</v>
      </c>
    </row>
    <row r="4" spans="1:5" ht="43.95" customHeight="1">
      <c r="A4" s="18" t="s">
        <v>261</v>
      </c>
      <c r="B4" s="19" t="s">
        <v>262</v>
      </c>
      <c r="C4" s="19" t="s">
        <v>263</v>
      </c>
      <c r="D4" s="20">
        <f>COUNTIF('BCR genes long'!$B$2:$B$247,B4)</f>
        <v>15</v>
      </c>
      <c r="E4" s="21" t="s">
        <v>264</v>
      </c>
    </row>
    <row r="5" spans="1:5" ht="43.95" customHeight="1">
      <c r="A5" s="18" t="s">
        <v>265</v>
      </c>
      <c r="B5" s="19" t="s">
        <v>266</v>
      </c>
      <c r="C5" s="19" t="s">
        <v>267</v>
      </c>
      <c r="D5" s="20">
        <f>COUNTIF('BCR genes long'!$B$2:$B$247,B5)</f>
        <v>12</v>
      </c>
      <c r="E5" s="21" t="s">
        <v>268</v>
      </c>
    </row>
    <row r="6" spans="1:5" ht="43.95" customHeight="1">
      <c r="A6" s="18" t="s">
        <v>269</v>
      </c>
      <c r="B6" s="19" t="s">
        <v>270</v>
      </c>
      <c r="C6" s="19" t="s">
        <v>271</v>
      </c>
      <c r="D6" s="20">
        <f>COUNTIF('BCR genes long'!$B$2:$B$247,B6)</f>
        <v>14</v>
      </c>
      <c r="E6" s="21" t="s">
        <v>272</v>
      </c>
    </row>
    <row r="7" spans="1:5" ht="43.95" customHeight="1">
      <c r="A7" s="18" t="s">
        <v>273</v>
      </c>
      <c r="B7" s="19" t="s">
        <v>274</v>
      </c>
      <c r="C7" s="19" t="s">
        <v>275</v>
      </c>
      <c r="D7" s="20">
        <f>COUNTIF('BCR genes long'!$B$2:$B$247,B7)</f>
        <v>12</v>
      </c>
      <c r="E7" s="21" t="s">
        <v>276</v>
      </c>
    </row>
    <row r="8" spans="1:5" ht="43.95" customHeight="1">
      <c r="A8" s="18" t="s">
        <v>277</v>
      </c>
      <c r="B8" s="19" t="s">
        <v>278</v>
      </c>
      <c r="C8" s="19" t="s">
        <v>279</v>
      </c>
      <c r="D8" s="20">
        <f>COUNTIF('BCR genes long'!$B$2:$B$247,B8)</f>
        <v>14</v>
      </c>
      <c r="E8" s="21" t="s">
        <v>280</v>
      </c>
    </row>
    <row r="9" spans="1:5" ht="43.95" customHeight="1">
      <c r="A9" s="18" t="s">
        <v>281</v>
      </c>
      <c r="B9" s="19" t="s">
        <v>282</v>
      </c>
      <c r="C9" s="19" t="s">
        <v>283</v>
      </c>
      <c r="D9" s="20">
        <f>COUNTIF('BCR genes long'!$B$2:$B$247,B9)</f>
        <v>15</v>
      </c>
      <c r="E9" s="21" t="s">
        <v>284</v>
      </c>
    </row>
    <row r="10" spans="1:5" ht="43.95" customHeight="1">
      <c r="A10" s="18" t="s">
        <v>285</v>
      </c>
      <c r="B10" s="19" t="s">
        <v>286</v>
      </c>
      <c r="C10" s="19" t="s">
        <v>287</v>
      </c>
      <c r="D10" s="20">
        <f>COUNTIF('BCR genes long'!$B$2:$B$247,B10)</f>
        <v>10</v>
      </c>
      <c r="E10" s="21" t="s">
        <v>288</v>
      </c>
    </row>
    <row r="11" spans="1:5" ht="43.95" customHeight="1">
      <c r="A11" s="18" t="s">
        <v>289</v>
      </c>
      <c r="B11" s="19" t="s">
        <v>290</v>
      </c>
      <c r="C11" s="19" t="s">
        <v>291</v>
      </c>
      <c r="D11" s="20">
        <f>COUNTIF('BCR genes long'!$B$2:$B$247,B11)</f>
        <v>11</v>
      </c>
      <c r="E11" s="21" t="s">
        <v>292</v>
      </c>
    </row>
    <row r="12" spans="1:5" ht="43.95" customHeight="1">
      <c r="A12" s="18" t="s">
        <v>293</v>
      </c>
      <c r="B12" s="19" t="s">
        <v>294</v>
      </c>
      <c r="C12" s="19" t="s">
        <v>295</v>
      </c>
      <c r="D12" s="20">
        <f>COUNTIF('BCR genes long'!$B$2:$B$247,B12)</f>
        <v>11</v>
      </c>
      <c r="E12" s="21" t="s">
        <v>296</v>
      </c>
    </row>
    <row r="13" spans="1:5" ht="43.95" customHeight="1">
      <c r="A13" s="18" t="s">
        <v>297</v>
      </c>
      <c r="B13" s="19" t="s">
        <v>298</v>
      </c>
      <c r="C13" s="19" t="s">
        <v>299</v>
      </c>
      <c r="D13" s="20">
        <f>COUNTIF('BCR genes long'!$B$2:$B$247,B13)</f>
        <v>16</v>
      </c>
      <c r="E13" s="21" t="s">
        <v>300</v>
      </c>
    </row>
    <row r="14" spans="1:5" ht="43.95" customHeight="1">
      <c r="A14" s="18" t="s">
        <v>301</v>
      </c>
      <c r="B14" s="19" t="s">
        <v>302</v>
      </c>
      <c r="C14" s="19" t="s">
        <v>303</v>
      </c>
      <c r="D14" s="20">
        <f>COUNTIF('BCR genes long'!$B$2:$B$247,B14)</f>
        <v>13</v>
      </c>
      <c r="E14" s="21" t="s">
        <v>304</v>
      </c>
    </row>
    <row r="15" spans="1:5" ht="43.95" customHeight="1">
      <c r="A15" s="18" t="s">
        <v>305</v>
      </c>
      <c r="B15" s="19" t="s">
        <v>306</v>
      </c>
      <c r="C15" s="19" t="s">
        <v>307</v>
      </c>
      <c r="D15" s="20">
        <f>COUNTIF('BCR genes long'!$B$2:$B$247,B15)</f>
        <v>15</v>
      </c>
      <c r="E15" s="21" t="s">
        <v>308</v>
      </c>
    </row>
    <row r="16" spans="1:5" ht="43.95" customHeight="1">
      <c r="A16" s="18" t="s">
        <v>309</v>
      </c>
      <c r="B16" s="19" t="s">
        <v>310</v>
      </c>
      <c r="C16" s="19" t="s">
        <v>311</v>
      </c>
      <c r="D16" s="20">
        <f>COUNTIF('BCR genes long'!$B$2:$B$247,B16)</f>
        <v>14</v>
      </c>
      <c r="E16" s="21" t="s">
        <v>312</v>
      </c>
    </row>
    <row r="17" spans="1:5" ht="43.95" customHeight="1">
      <c r="A17" s="18" t="s">
        <v>313</v>
      </c>
      <c r="B17" s="19" t="s">
        <v>314</v>
      </c>
      <c r="C17" s="19" t="s">
        <v>315</v>
      </c>
      <c r="D17" s="20">
        <f>COUNTIF('BCR genes long'!$B$2:$B$247,B17)</f>
        <v>11</v>
      </c>
      <c r="E17" s="21" t="s">
        <v>316</v>
      </c>
    </row>
    <row r="18" spans="1:5" ht="43.95" customHeight="1">
      <c r="A18" s="18" t="s">
        <v>317</v>
      </c>
      <c r="B18" s="19" t="s">
        <v>318</v>
      </c>
      <c r="C18" s="19" t="s">
        <v>319</v>
      </c>
      <c r="D18" s="20">
        <f>COUNTIF('BCR genes long'!$B$2:$B$247,B18)</f>
        <v>11</v>
      </c>
      <c r="E18" s="21" t="s">
        <v>320</v>
      </c>
    </row>
    <row r="19" spans="1:5" ht="43.95" customHeight="1">
      <c r="A19" s="18" t="s">
        <v>321</v>
      </c>
      <c r="B19" s="19" t="s">
        <v>322</v>
      </c>
      <c r="C19" s="19" t="s">
        <v>323</v>
      </c>
      <c r="D19" s="20">
        <f>COUNTIF('BCR genes long'!$B$2:$B$247,B19)</f>
        <v>12</v>
      </c>
      <c r="E19" s="21" t="s">
        <v>324</v>
      </c>
    </row>
    <row r="20" spans="1:5" ht="43.95" customHeight="1">
      <c r="A20" s="18" t="s">
        <v>325</v>
      </c>
      <c r="B20" s="19" t="s">
        <v>326</v>
      </c>
      <c r="C20" s="19" t="s">
        <v>327</v>
      </c>
      <c r="D20" s="20">
        <f>COUNTIF('BCR genes long'!$B$2:$B$247,B20)</f>
        <v>11</v>
      </c>
      <c r="E20" s="21" t="s">
        <v>328</v>
      </c>
    </row>
    <row r="21" spans="1:5" ht="43.95" customHeight="1">
      <c r="A21" s="18" t="s">
        <v>329</v>
      </c>
      <c r="B21" s="19" t="s">
        <v>330</v>
      </c>
      <c r="C21" s="19" t="s">
        <v>331</v>
      </c>
      <c r="D21" s="20">
        <f>COUNTIF('BCR genes long'!$B$2:$B$247,B21)</f>
        <v>14</v>
      </c>
      <c r="E21" s="21" t="s">
        <v>332</v>
      </c>
    </row>
    <row r="22" spans="1:5" ht="43.95" customHeight="1">
      <c r="A22" s="22" t="s">
        <v>333</v>
      </c>
      <c r="B22" s="23" t="s">
        <v>334</v>
      </c>
      <c r="C22" s="23" t="s">
        <v>335</v>
      </c>
      <c r="D22" s="24">
        <f>COUNTIF('BCR genes long'!$B$2:$B$247,B22)</f>
        <v>15</v>
      </c>
      <c r="E22" s="25" t="s">
        <v>87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7"/>
  <sheetViews>
    <sheetView showGridLines="0" workbookViewId="0"/>
  </sheetViews>
  <sheetFormatPr defaultRowHeight="13.8"/>
  <cols>
    <col min="1" max="1" width="12" customWidth="1"/>
    <col min="2" max="2" width="50" customWidth="1"/>
    <col min="3" max="3" width="12" customWidth="1"/>
    <col min="4" max="4" width="18" customWidth="1"/>
  </cols>
  <sheetData>
    <row r="1" spans="1:4">
      <c r="A1" s="26" t="s">
        <v>19</v>
      </c>
      <c r="B1" s="27" t="s">
        <v>20</v>
      </c>
      <c r="C1" s="27" t="s">
        <v>92</v>
      </c>
      <c r="D1" s="28" t="s">
        <v>93</v>
      </c>
    </row>
    <row r="2" spans="1:4">
      <c r="A2" s="14" t="s">
        <v>261</v>
      </c>
      <c r="B2" s="12" t="s">
        <v>262</v>
      </c>
      <c r="C2" s="16">
        <v>1</v>
      </c>
      <c r="D2" s="4" t="s">
        <v>336</v>
      </c>
    </row>
    <row r="3" spans="1:4">
      <c r="A3" s="14" t="s">
        <v>261</v>
      </c>
      <c r="B3" s="12" t="s">
        <v>262</v>
      </c>
      <c r="C3" s="16">
        <v>2</v>
      </c>
      <c r="D3" s="4" t="s">
        <v>337</v>
      </c>
    </row>
    <row r="4" spans="1:4">
      <c r="A4" s="14" t="s">
        <v>261</v>
      </c>
      <c r="B4" s="12" t="s">
        <v>262</v>
      </c>
      <c r="C4" s="16">
        <v>3</v>
      </c>
      <c r="D4" s="4" t="s">
        <v>338</v>
      </c>
    </row>
    <row r="5" spans="1:4">
      <c r="A5" s="14" t="s">
        <v>261</v>
      </c>
      <c r="B5" s="12" t="s">
        <v>262</v>
      </c>
      <c r="C5" s="16">
        <v>4</v>
      </c>
      <c r="D5" s="4" t="s">
        <v>339</v>
      </c>
    </row>
    <row r="6" spans="1:4">
      <c r="A6" s="14" t="s">
        <v>261</v>
      </c>
      <c r="B6" s="12" t="s">
        <v>262</v>
      </c>
      <c r="C6" s="16">
        <v>5</v>
      </c>
      <c r="D6" s="4" t="s">
        <v>340</v>
      </c>
    </row>
    <row r="7" spans="1:4">
      <c r="A7" s="14" t="s">
        <v>261</v>
      </c>
      <c r="B7" s="12" t="s">
        <v>262</v>
      </c>
      <c r="C7" s="16">
        <v>6</v>
      </c>
      <c r="D7" s="4" t="s">
        <v>341</v>
      </c>
    </row>
    <row r="8" spans="1:4">
      <c r="A8" s="14" t="s">
        <v>261</v>
      </c>
      <c r="B8" s="12" t="s">
        <v>262</v>
      </c>
      <c r="C8" s="16">
        <v>7</v>
      </c>
      <c r="D8" s="4" t="s">
        <v>103</v>
      </c>
    </row>
    <row r="9" spans="1:4">
      <c r="A9" s="14" t="s">
        <v>261</v>
      </c>
      <c r="B9" s="12" t="s">
        <v>262</v>
      </c>
      <c r="C9" s="16">
        <v>8</v>
      </c>
      <c r="D9" s="4" t="s">
        <v>94</v>
      </c>
    </row>
    <row r="10" spans="1:4">
      <c r="A10" s="14" t="s">
        <v>261</v>
      </c>
      <c r="B10" s="12" t="s">
        <v>262</v>
      </c>
      <c r="C10" s="16">
        <v>9</v>
      </c>
      <c r="D10" s="4" t="s">
        <v>95</v>
      </c>
    </row>
    <row r="11" spans="1:4">
      <c r="A11" s="14" t="s">
        <v>261</v>
      </c>
      <c r="B11" s="12" t="s">
        <v>262</v>
      </c>
      <c r="C11" s="16">
        <v>10</v>
      </c>
      <c r="D11" s="4" t="s">
        <v>342</v>
      </c>
    </row>
    <row r="12" spans="1:4">
      <c r="A12" s="14" t="s">
        <v>261</v>
      </c>
      <c r="B12" s="12" t="s">
        <v>262</v>
      </c>
      <c r="C12" s="16">
        <v>11</v>
      </c>
      <c r="D12" s="4" t="s">
        <v>343</v>
      </c>
    </row>
    <row r="13" spans="1:4">
      <c r="A13" s="14" t="s">
        <v>261</v>
      </c>
      <c r="B13" s="12" t="s">
        <v>262</v>
      </c>
      <c r="C13" s="16">
        <v>12</v>
      </c>
      <c r="D13" s="4" t="s">
        <v>344</v>
      </c>
    </row>
    <row r="14" spans="1:4">
      <c r="A14" s="14" t="s">
        <v>261</v>
      </c>
      <c r="B14" s="12" t="s">
        <v>262</v>
      </c>
      <c r="C14" s="16">
        <v>13</v>
      </c>
      <c r="D14" s="4" t="s">
        <v>345</v>
      </c>
    </row>
    <row r="15" spans="1:4">
      <c r="A15" s="14" t="s">
        <v>261</v>
      </c>
      <c r="B15" s="12" t="s">
        <v>262</v>
      </c>
      <c r="C15" s="16">
        <v>14</v>
      </c>
      <c r="D15" s="4" t="s">
        <v>346</v>
      </c>
    </row>
    <row r="16" spans="1:4">
      <c r="A16" s="14" t="s">
        <v>261</v>
      </c>
      <c r="B16" s="12" t="s">
        <v>262</v>
      </c>
      <c r="C16" s="16">
        <v>15</v>
      </c>
      <c r="D16" s="4" t="s">
        <v>108</v>
      </c>
    </row>
    <row r="17" spans="1:4">
      <c r="A17" s="14" t="s">
        <v>265</v>
      </c>
      <c r="B17" s="12" t="s">
        <v>266</v>
      </c>
      <c r="C17" s="16">
        <v>1</v>
      </c>
      <c r="D17" s="4" t="s">
        <v>106</v>
      </c>
    </row>
    <row r="18" spans="1:4">
      <c r="A18" s="14" t="s">
        <v>265</v>
      </c>
      <c r="B18" s="12" t="s">
        <v>266</v>
      </c>
      <c r="C18" s="16">
        <v>2</v>
      </c>
      <c r="D18" s="4" t="s">
        <v>347</v>
      </c>
    </row>
    <row r="19" spans="1:4">
      <c r="A19" s="14" t="s">
        <v>265</v>
      </c>
      <c r="B19" s="12" t="s">
        <v>266</v>
      </c>
      <c r="C19" s="16">
        <v>3</v>
      </c>
      <c r="D19" s="4" t="s">
        <v>348</v>
      </c>
    </row>
    <row r="20" spans="1:4">
      <c r="A20" s="14" t="s">
        <v>265</v>
      </c>
      <c r="B20" s="12" t="s">
        <v>266</v>
      </c>
      <c r="C20" s="16">
        <v>4</v>
      </c>
      <c r="D20" s="4" t="s">
        <v>197</v>
      </c>
    </row>
    <row r="21" spans="1:4">
      <c r="A21" s="14" t="s">
        <v>265</v>
      </c>
      <c r="B21" s="12" t="s">
        <v>266</v>
      </c>
      <c r="C21" s="16">
        <v>5</v>
      </c>
      <c r="D21" s="4" t="s">
        <v>349</v>
      </c>
    </row>
    <row r="22" spans="1:4">
      <c r="A22" s="14" t="s">
        <v>265</v>
      </c>
      <c r="B22" s="12" t="s">
        <v>266</v>
      </c>
      <c r="C22" s="16">
        <v>6</v>
      </c>
      <c r="D22" s="4" t="s">
        <v>350</v>
      </c>
    </row>
    <row r="23" spans="1:4">
      <c r="A23" s="14" t="s">
        <v>265</v>
      </c>
      <c r="B23" s="12" t="s">
        <v>266</v>
      </c>
      <c r="C23" s="16">
        <v>7</v>
      </c>
      <c r="D23" s="4" t="s">
        <v>346</v>
      </c>
    </row>
    <row r="24" spans="1:4">
      <c r="A24" s="14" t="s">
        <v>265</v>
      </c>
      <c r="B24" s="12" t="s">
        <v>266</v>
      </c>
      <c r="C24" s="16">
        <v>8</v>
      </c>
      <c r="D24" s="4" t="s">
        <v>343</v>
      </c>
    </row>
    <row r="25" spans="1:4">
      <c r="A25" s="14" t="s">
        <v>265</v>
      </c>
      <c r="B25" s="12" t="s">
        <v>266</v>
      </c>
      <c r="C25" s="16">
        <v>9</v>
      </c>
      <c r="D25" s="4" t="s">
        <v>344</v>
      </c>
    </row>
    <row r="26" spans="1:4">
      <c r="A26" s="14" t="s">
        <v>265</v>
      </c>
      <c r="B26" s="12" t="s">
        <v>266</v>
      </c>
      <c r="C26" s="16">
        <v>10</v>
      </c>
      <c r="D26" s="4" t="s">
        <v>351</v>
      </c>
    </row>
    <row r="27" spans="1:4">
      <c r="A27" s="14" t="s">
        <v>265</v>
      </c>
      <c r="B27" s="12" t="s">
        <v>266</v>
      </c>
      <c r="C27" s="16">
        <v>11</v>
      </c>
      <c r="D27" s="4" t="s">
        <v>352</v>
      </c>
    </row>
    <row r="28" spans="1:4">
      <c r="A28" s="14" t="s">
        <v>265</v>
      </c>
      <c r="B28" s="12" t="s">
        <v>266</v>
      </c>
      <c r="C28" s="16">
        <v>12</v>
      </c>
      <c r="D28" s="4" t="s">
        <v>353</v>
      </c>
    </row>
    <row r="29" spans="1:4">
      <c r="A29" s="14" t="s">
        <v>269</v>
      </c>
      <c r="B29" s="12" t="s">
        <v>270</v>
      </c>
      <c r="C29" s="16">
        <v>1</v>
      </c>
      <c r="D29" s="4" t="s">
        <v>354</v>
      </c>
    </row>
    <row r="30" spans="1:4">
      <c r="A30" s="14" t="s">
        <v>269</v>
      </c>
      <c r="B30" s="12" t="s">
        <v>270</v>
      </c>
      <c r="C30" s="16">
        <v>2</v>
      </c>
      <c r="D30" s="4" t="s">
        <v>355</v>
      </c>
    </row>
    <row r="31" spans="1:4">
      <c r="A31" s="14" t="s">
        <v>269</v>
      </c>
      <c r="B31" s="12" t="s">
        <v>270</v>
      </c>
      <c r="C31" s="16">
        <v>3</v>
      </c>
      <c r="D31" s="4" t="s">
        <v>356</v>
      </c>
    </row>
    <row r="32" spans="1:4">
      <c r="A32" s="14" t="s">
        <v>269</v>
      </c>
      <c r="B32" s="12" t="s">
        <v>270</v>
      </c>
      <c r="C32" s="16">
        <v>4</v>
      </c>
      <c r="D32" s="4" t="s">
        <v>153</v>
      </c>
    </row>
    <row r="33" spans="1:4">
      <c r="A33" s="14" t="s">
        <v>269</v>
      </c>
      <c r="B33" s="12" t="s">
        <v>270</v>
      </c>
      <c r="C33" s="16">
        <v>5</v>
      </c>
      <c r="D33" s="4" t="s">
        <v>191</v>
      </c>
    </row>
    <row r="34" spans="1:4">
      <c r="A34" s="14" t="s">
        <v>269</v>
      </c>
      <c r="B34" s="12" t="s">
        <v>270</v>
      </c>
      <c r="C34" s="16">
        <v>6</v>
      </c>
      <c r="D34" s="4" t="s">
        <v>152</v>
      </c>
    </row>
    <row r="35" spans="1:4">
      <c r="A35" s="14" t="s">
        <v>269</v>
      </c>
      <c r="B35" s="12" t="s">
        <v>270</v>
      </c>
      <c r="C35" s="16">
        <v>7</v>
      </c>
      <c r="D35" s="4" t="s">
        <v>120</v>
      </c>
    </row>
    <row r="36" spans="1:4">
      <c r="A36" s="14" t="s">
        <v>269</v>
      </c>
      <c r="B36" s="12" t="s">
        <v>270</v>
      </c>
      <c r="C36" s="16">
        <v>8</v>
      </c>
      <c r="D36" s="4" t="s">
        <v>357</v>
      </c>
    </row>
    <row r="37" spans="1:4">
      <c r="A37" s="14" t="s">
        <v>269</v>
      </c>
      <c r="B37" s="12" t="s">
        <v>270</v>
      </c>
      <c r="C37" s="16">
        <v>9</v>
      </c>
      <c r="D37" s="4" t="s">
        <v>358</v>
      </c>
    </row>
    <row r="38" spans="1:4">
      <c r="A38" s="14" t="s">
        <v>269</v>
      </c>
      <c r="B38" s="12" t="s">
        <v>270</v>
      </c>
      <c r="C38" s="16">
        <v>10</v>
      </c>
      <c r="D38" s="4" t="s">
        <v>359</v>
      </c>
    </row>
    <row r="39" spans="1:4">
      <c r="A39" s="14" t="s">
        <v>269</v>
      </c>
      <c r="B39" s="12" t="s">
        <v>270</v>
      </c>
      <c r="C39" s="16">
        <v>11</v>
      </c>
      <c r="D39" s="4" t="s">
        <v>360</v>
      </c>
    </row>
    <row r="40" spans="1:4">
      <c r="A40" s="14" t="s">
        <v>269</v>
      </c>
      <c r="B40" s="12" t="s">
        <v>270</v>
      </c>
      <c r="C40" s="16">
        <v>12</v>
      </c>
      <c r="D40" s="4" t="s">
        <v>361</v>
      </c>
    </row>
    <row r="41" spans="1:4">
      <c r="A41" s="14" t="s">
        <v>269</v>
      </c>
      <c r="B41" s="12" t="s">
        <v>270</v>
      </c>
      <c r="C41" s="16">
        <v>13</v>
      </c>
      <c r="D41" s="4" t="s">
        <v>350</v>
      </c>
    </row>
    <row r="42" spans="1:4">
      <c r="A42" s="14" t="s">
        <v>269</v>
      </c>
      <c r="B42" s="12" t="s">
        <v>270</v>
      </c>
      <c r="C42" s="16">
        <v>14</v>
      </c>
      <c r="D42" s="4" t="s">
        <v>349</v>
      </c>
    </row>
    <row r="43" spans="1:4">
      <c r="A43" s="14" t="s">
        <v>273</v>
      </c>
      <c r="B43" s="12" t="s">
        <v>274</v>
      </c>
      <c r="C43" s="16">
        <v>1</v>
      </c>
      <c r="D43" s="4" t="s">
        <v>362</v>
      </c>
    </row>
    <row r="44" spans="1:4">
      <c r="A44" s="14" t="s">
        <v>273</v>
      </c>
      <c r="B44" s="12" t="s">
        <v>274</v>
      </c>
      <c r="C44" s="16">
        <v>2</v>
      </c>
      <c r="D44" s="4" t="s">
        <v>203</v>
      </c>
    </row>
    <row r="45" spans="1:4">
      <c r="A45" s="14" t="s">
        <v>273</v>
      </c>
      <c r="B45" s="12" t="s">
        <v>274</v>
      </c>
      <c r="C45" s="16">
        <v>3</v>
      </c>
      <c r="D45" s="4" t="s">
        <v>363</v>
      </c>
    </row>
    <row r="46" spans="1:4">
      <c r="A46" s="14" t="s">
        <v>273</v>
      </c>
      <c r="B46" s="12" t="s">
        <v>274</v>
      </c>
      <c r="C46" s="16">
        <v>4</v>
      </c>
      <c r="D46" s="4" t="s">
        <v>364</v>
      </c>
    </row>
    <row r="47" spans="1:4">
      <c r="A47" s="14" t="s">
        <v>273</v>
      </c>
      <c r="B47" s="12" t="s">
        <v>274</v>
      </c>
      <c r="C47" s="16">
        <v>5</v>
      </c>
      <c r="D47" s="4" t="s">
        <v>365</v>
      </c>
    </row>
    <row r="48" spans="1:4">
      <c r="A48" s="14" t="s">
        <v>273</v>
      </c>
      <c r="B48" s="12" t="s">
        <v>274</v>
      </c>
      <c r="C48" s="16">
        <v>6</v>
      </c>
      <c r="D48" s="4" t="s">
        <v>366</v>
      </c>
    </row>
    <row r="49" spans="1:4">
      <c r="A49" s="14" t="s">
        <v>273</v>
      </c>
      <c r="B49" s="12" t="s">
        <v>274</v>
      </c>
      <c r="C49" s="16">
        <v>7</v>
      </c>
      <c r="D49" s="4" t="s">
        <v>367</v>
      </c>
    </row>
    <row r="50" spans="1:4">
      <c r="A50" s="14" t="s">
        <v>273</v>
      </c>
      <c r="B50" s="12" t="s">
        <v>274</v>
      </c>
      <c r="C50" s="16">
        <v>8</v>
      </c>
      <c r="D50" s="4" t="s">
        <v>368</v>
      </c>
    </row>
    <row r="51" spans="1:4">
      <c r="A51" s="14" t="s">
        <v>273</v>
      </c>
      <c r="B51" s="12" t="s">
        <v>274</v>
      </c>
      <c r="C51" s="16">
        <v>9</v>
      </c>
      <c r="D51" s="4" t="s">
        <v>369</v>
      </c>
    </row>
    <row r="52" spans="1:4">
      <c r="A52" s="14" t="s">
        <v>273</v>
      </c>
      <c r="B52" s="12" t="s">
        <v>274</v>
      </c>
      <c r="C52" s="16">
        <v>10</v>
      </c>
      <c r="D52" s="4" t="s">
        <v>237</v>
      </c>
    </row>
    <row r="53" spans="1:4">
      <c r="A53" s="14" t="s">
        <v>273</v>
      </c>
      <c r="B53" s="12" t="s">
        <v>274</v>
      </c>
      <c r="C53" s="16">
        <v>11</v>
      </c>
      <c r="D53" s="4" t="s">
        <v>370</v>
      </c>
    </row>
    <row r="54" spans="1:4">
      <c r="A54" s="14" t="s">
        <v>273</v>
      </c>
      <c r="B54" s="12" t="s">
        <v>274</v>
      </c>
      <c r="C54" s="16">
        <v>12</v>
      </c>
      <c r="D54" s="4" t="s">
        <v>239</v>
      </c>
    </row>
    <row r="55" spans="1:4">
      <c r="A55" s="14" t="s">
        <v>277</v>
      </c>
      <c r="B55" s="12" t="s">
        <v>278</v>
      </c>
      <c r="C55" s="16">
        <v>1</v>
      </c>
      <c r="D55" s="4" t="s">
        <v>181</v>
      </c>
    </row>
    <row r="56" spans="1:4">
      <c r="A56" s="14" t="s">
        <v>277</v>
      </c>
      <c r="B56" s="12" t="s">
        <v>278</v>
      </c>
      <c r="C56" s="16">
        <v>2</v>
      </c>
      <c r="D56" s="4" t="s">
        <v>371</v>
      </c>
    </row>
    <row r="57" spans="1:4">
      <c r="A57" s="14" t="s">
        <v>277</v>
      </c>
      <c r="B57" s="12" t="s">
        <v>278</v>
      </c>
      <c r="C57" s="16">
        <v>3</v>
      </c>
      <c r="D57" s="4" t="s">
        <v>127</v>
      </c>
    </row>
    <row r="58" spans="1:4">
      <c r="A58" s="14" t="s">
        <v>277</v>
      </c>
      <c r="B58" s="12" t="s">
        <v>278</v>
      </c>
      <c r="C58" s="16">
        <v>4</v>
      </c>
      <c r="D58" s="4" t="s">
        <v>372</v>
      </c>
    </row>
    <row r="59" spans="1:4">
      <c r="A59" s="14" t="s">
        <v>277</v>
      </c>
      <c r="B59" s="12" t="s">
        <v>278</v>
      </c>
      <c r="C59" s="16">
        <v>5</v>
      </c>
      <c r="D59" s="4" t="s">
        <v>373</v>
      </c>
    </row>
    <row r="60" spans="1:4">
      <c r="A60" s="14" t="s">
        <v>277</v>
      </c>
      <c r="B60" s="12" t="s">
        <v>278</v>
      </c>
      <c r="C60" s="16">
        <v>6</v>
      </c>
      <c r="D60" s="4" t="s">
        <v>374</v>
      </c>
    </row>
    <row r="61" spans="1:4">
      <c r="A61" s="14" t="s">
        <v>277</v>
      </c>
      <c r="B61" s="12" t="s">
        <v>278</v>
      </c>
      <c r="C61" s="16">
        <v>7</v>
      </c>
      <c r="D61" s="4" t="s">
        <v>375</v>
      </c>
    </row>
    <row r="62" spans="1:4">
      <c r="A62" s="14" t="s">
        <v>277</v>
      </c>
      <c r="B62" s="12" t="s">
        <v>278</v>
      </c>
      <c r="C62" s="16">
        <v>8</v>
      </c>
      <c r="D62" s="4" t="s">
        <v>376</v>
      </c>
    </row>
    <row r="63" spans="1:4">
      <c r="A63" s="14" t="s">
        <v>277</v>
      </c>
      <c r="B63" s="12" t="s">
        <v>278</v>
      </c>
      <c r="C63" s="16">
        <v>9</v>
      </c>
      <c r="D63" s="4" t="s">
        <v>377</v>
      </c>
    </row>
    <row r="64" spans="1:4">
      <c r="A64" s="14" t="s">
        <v>277</v>
      </c>
      <c r="B64" s="12" t="s">
        <v>278</v>
      </c>
      <c r="C64" s="16">
        <v>10</v>
      </c>
      <c r="D64" s="4" t="s">
        <v>378</v>
      </c>
    </row>
    <row r="65" spans="1:4">
      <c r="A65" s="14" t="s">
        <v>277</v>
      </c>
      <c r="B65" s="12" t="s">
        <v>278</v>
      </c>
      <c r="C65" s="16">
        <v>11</v>
      </c>
      <c r="D65" s="4" t="s">
        <v>379</v>
      </c>
    </row>
    <row r="66" spans="1:4">
      <c r="A66" s="14" t="s">
        <v>277</v>
      </c>
      <c r="B66" s="12" t="s">
        <v>278</v>
      </c>
      <c r="C66" s="16">
        <v>12</v>
      </c>
      <c r="D66" s="4" t="s">
        <v>366</v>
      </c>
    </row>
    <row r="67" spans="1:4">
      <c r="A67" s="14" t="s">
        <v>277</v>
      </c>
      <c r="B67" s="12" t="s">
        <v>278</v>
      </c>
      <c r="C67" s="16">
        <v>13</v>
      </c>
      <c r="D67" s="4" t="s">
        <v>106</v>
      </c>
    </row>
    <row r="68" spans="1:4">
      <c r="A68" s="14" t="s">
        <v>277</v>
      </c>
      <c r="B68" s="12" t="s">
        <v>278</v>
      </c>
      <c r="C68" s="16">
        <v>14</v>
      </c>
      <c r="D68" s="4" t="s">
        <v>380</v>
      </c>
    </row>
    <row r="69" spans="1:4">
      <c r="A69" s="14" t="s">
        <v>281</v>
      </c>
      <c r="B69" s="12" t="s">
        <v>282</v>
      </c>
      <c r="C69" s="16">
        <v>1</v>
      </c>
      <c r="D69" s="4" t="s">
        <v>371</v>
      </c>
    </row>
    <row r="70" spans="1:4">
      <c r="A70" s="14" t="s">
        <v>281</v>
      </c>
      <c r="B70" s="12" t="s">
        <v>282</v>
      </c>
      <c r="C70" s="16">
        <v>2</v>
      </c>
      <c r="D70" s="4" t="s">
        <v>381</v>
      </c>
    </row>
    <row r="71" spans="1:4">
      <c r="A71" s="14" t="s">
        <v>281</v>
      </c>
      <c r="B71" s="12" t="s">
        <v>282</v>
      </c>
      <c r="C71" s="16">
        <v>3</v>
      </c>
      <c r="D71" s="4" t="s">
        <v>382</v>
      </c>
    </row>
    <row r="72" spans="1:4">
      <c r="A72" s="14" t="s">
        <v>281</v>
      </c>
      <c r="B72" s="12" t="s">
        <v>282</v>
      </c>
      <c r="C72" s="16">
        <v>4</v>
      </c>
      <c r="D72" s="4" t="s">
        <v>383</v>
      </c>
    </row>
    <row r="73" spans="1:4">
      <c r="A73" s="14" t="s">
        <v>281</v>
      </c>
      <c r="B73" s="12" t="s">
        <v>282</v>
      </c>
      <c r="C73" s="16">
        <v>5</v>
      </c>
      <c r="D73" s="4" t="s">
        <v>384</v>
      </c>
    </row>
    <row r="74" spans="1:4">
      <c r="A74" s="14" t="s">
        <v>281</v>
      </c>
      <c r="B74" s="12" t="s">
        <v>282</v>
      </c>
      <c r="C74" s="16">
        <v>6</v>
      </c>
      <c r="D74" s="4" t="s">
        <v>385</v>
      </c>
    </row>
    <row r="75" spans="1:4">
      <c r="A75" s="14" t="s">
        <v>281</v>
      </c>
      <c r="B75" s="12" t="s">
        <v>282</v>
      </c>
      <c r="C75" s="16">
        <v>7</v>
      </c>
      <c r="D75" s="4" t="s">
        <v>386</v>
      </c>
    </row>
    <row r="76" spans="1:4">
      <c r="A76" s="14" t="s">
        <v>281</v>
      </c>
      <c r="B76" s="12" t="s">
        <v>282</v>
      </c>
      <c r="C76" s="16">
        <v>8</v>
      </c>
      <c r="D76" s="4" t="s">
        <v>387</v>
      </c>
    </row>
    <row r="77" spans="1:4">
      <c r="A77" s="14" t="s">
        <v>281</v>
      </c>
      <c r="B77" s="12" t="s">
        <v>282</v>
      </c>
      <c r="C77" s="16">
        <v>9</v>
      </c>
      <c r="D77" s="4" t="s">
        <v>388</v>
      </c>
    </row>
    <row r="78" spans="1:4">
      <c r="A78" s="14" t="s">
        <v>281</v>
      </c>
      <c r="B78" s="12" t="s">
        <v>282</v>
      </c>
      <c r="C78" s="16">
        <v>10</v>
      </c>
      <c r="D78" s="4" t="s">
        <v>389</v>
      </c>
    </row>
    <row r="79" spans="1:4">
      <c r="A79" s="14" t="s">
        <v>281</v>
      </c>
      <c r="B79" s="12" t="s">
        <v>282</v>
      </c>
      <c r="C79" s="16">
        <v>11</v>
      </c>
      <c r="D79" s="4" t="s">
        <v>390</v>
      </c>
    </row>
    <row r="80" spans="1:4">
      <c r="A80" s="14" t="s">
        <v>281</v>
      </c>
      <c r="B80" s="12" t="s">
        <v>282</v>
      </c>
      <c r="C80" s="16">
        <v>12</v>
      </c>
      <c r="D80" s="4" t="s">
        <v>391</v>
      </c>
    </row>
    <row r="81" spans="1:4">
      <c r="A81" s="14" t="s">
        <v>281</v>
      </c>
      <c r="B81" s="12" t="s">
        <v>282</v>
      </c>
      <c r="C81" s="16">
        <v>13</v>
      </c>
      <c r="D81" s="4" t="s">
        <v>377</v>
      </c>
    </row>
    <row r="82" spans="1:4">
      <c r="A82" s="14" t="s">
        <v>281</v>
      </c>
      <c r="B82" s="12" t="s">
        <v>282</v>
      </c>
      <c r="C82" s="16">
        <v>14</v>
      </c>
      <c r="D82" s="4" t="s">
        <v>392</v>
      </c>
    </row>
    <row r="83" spans="1:4">
      <c r="A83" s="14" t="s">
        <v>281</v>
      </c>
      <c r="B83" s="12" t="s">
        <v>282</v>
      </c>
      <c r="C83" s="16">
        <v>15</v>
      </c>
      <c r="D83" s="4" t="s">
        <v>375</v>
      </c>
    </row>
    <row r="84" spans="1:4">
      <c r="A84" s="14" t="s">
        <v>285</v>
      </c>
      <c r="B84" s="12" t="s">
        <v>286</v>
      </c>
      <c r="C84" s="16">
        <v>1</v>
      </c>
      <c r="D84" s="4" t="s">
        <v>393</v>
      </c>
    </row>
    <row r="85" spans="1:4">
      <c r="A85" s="14" t="s">
        <v>285</v>
      </c>
      <c r="B85" s="12" t="s">
        <v>286</v>
      </c>
      <c r="C85" s="16">
        <v>2</v>
      </c>
      <c r="D85" s="4" t="s">
        <v>394</v>
      </c>
    </row>
    <row r="86" spans="1:4">
      <c r="A86" s="14" t="s">
        <v>285</v>
      </c>
      <c r="B86" s="12" t="s">
        <v>286</v>
      </c>
      <c r="C86" s="16">
        <v>3</v>
      </c>
      <c r="D86" s="4" t="s">
        <v>374</v>
      </c>
    </row>
    <row r="87" spans="1:4">
      <c r="A87" s="14" t="s">
        <v>285</v>
      </c>
      <c r="B87" s="12" t="s">
        <v>286</v>
      </c>
      <c r="C87" s="16">
        <v>4</v>
      </c>
      <c r="D87" s="4" t="s">
        <v>372</v>
      </c>
    </row>
    <row r="88" spans="1:4">
      <c r="A88" s="14" t="s">
        <v>285</v>
      </c>
      <c r="B88" s="12" t="s">
        <v>286</v>
      </c>
      <c r="C88" s="16">
        <v>5</v>
      </c>
      <c r="D88" s="4" t="s">
        <v>371</v>
      </c>
    </row>
    <row r="89" spans="1:4">
      <c r="A89" s="14" t="s">
        <v>285</v>
      </c>
      <c r="B89" s="12" t="s">
        <v>286</v>
      </c>
      <c r="C89" s="16">
        <v>6</v>
      </c>
      <c r="D89" s="4" t="s">
        <v>373</v>
      </c>
    </row>
    <row r="90" spans="1:4">
      <c r="A90" s="14" t="s">
        <v>285</v>
      </c>
      <c r="B90" s="12" t="s">
        <v>286</v>
      </c>
      <c r="C90" s="16">
        <v>7</v>
      </c>
      <c r="D90" s="4" t="s">
        <v>378</v>
      </c>
    </row>
    <row r="91" spans="1:4">
      <c r="A91" s="14" t="s">
        <v>285</v>
      </c>
      <c r="B91" s="12" t="s">
        <v>286</v>
      </c>
      <c r="C91" s="16">
        <v>8</v>
      </c>
      <c r="D91" s="4" t="s">
        <v>395</v>
      </c>
    </row>
    <row r="92" spans="1:4">
      <c r="A92" s="14" t="s">
        <v>285</v>
      </c>
      <c r="B92" s="12" t="s">
        <v>286</v>
      </c>
      <c r="C92" s="16">
        <v>9</v>
      </c>
      <c r="D92" s="4" t="s">
        <v>181</v>
      </c>
    </row>
    <row r="93" spans="1:4">
      <c r="A93" s="14" t="s">
        <v>285</v>
      </c>
      <c r="B93" s="12" t="s">
        <v>286</v>
      </c>
      <c r="C93" s="16">
        <v>10</v>
      </c>
      <c r="D93" s="4" t="s">
        <v>127</v>
      </c>
    </row>
    <row r="94" spans="1:4">
      <c r="A94" s="14" t="s">
        <v>289</v>
      </c>
      <c r="B94" s="12" t="s">
        <v>290</v>
      </c>
      <c r="C94" s="16">
        <v>1</v>
      </c>
      <c r="D94" s="4" t="s">
        <v>396</v>
      </c>
    </row>
    <row r="95" spans="1:4">
      <c r="A95" s="14" t="s">
        <v>289</v>
      </c>
      <c r="B95" s="12" t="s">
        <v>290</v>
      </c>
      <c r="C95" s="16">
        <v>2</v>
      </c>
      <c r="D95" s="4" t="s">
        <v>397</v>
      </c>
    </row>
    <row r="96" spans="1:4">
      <c r="A96" s="14" t="s">
        <v>289</v>
      </c>
      <c r="B96" s="12" t="s">
        <v>290</v>
      </c>
      <c r="C96" s="16">
        <v>3</v>
      </c>
      <c r="D96" s="4" t="s">
        <v>398</v>
      </c>
    </row>
    <row r="97" spans="1:4">
      <c r="A97" s="14" t="s">
        <v>289</v>
      </c>
      <c r="B97" s="12" t="s">
        <v>290</v>
      </c>
      <c r="C97" s="16">
        <v>4</v>
      </c>
      <c r="D97" s="4" t="s">
        <v>399</v>
      </c>
    </row>
    <row r="98" spans="1:4">
      <c r="A98" s="14" t="s">
        <v>289</v>
      </c>
      <c r="B98" s="12" t="s">
        <v>290</v>
      </c>
      <c r="C98" s="16">
        <v>5</v>
      </c>
      <c r="D98" s="4" t="s">
        <v>374</v>
      </c>
    </row>
    <row r="99" spans="1:4">
      <c r="A99" s="14" t="s">
        <v>289</v>
      </c>
      <c r="B99" s="12" t="s">
        <v>290</v>
      </c>
      <c r="C99" s="16">
        <v>6</v>
      </c>
      <c r="D99" s="4" t="s">
        <v>372</v>
      </c>
    </row>
    <row r="100" spans="1:4">
      <c r="A100" s="14" t="s">
        <v>289</v>
      </c>
      <c r="B100" s="12" t="s">
        <v>290</v>
      </c>
      <c r="C100" s="16">
        <v>7</v>
      </c>
      <c r="D100" s="4" t="s">
        <v>371</v>
      </c>
    </row>
    <row r="101" spans="1:4">
      <c r="A101" s="14" t="s">
        <v>289</v>
      </c>
      <c r="B101" s="12" t="s">
        <v>290</v>
      </c>
      <c r="C101" s="16">
        <v>8</v>
      </c>
      <c r="D101" s="4" t="s">
        <v>373</v>
      </c>
    </row>
    <row r="102" spans="1:4">
      <c r="A102" s="14" t="s">
        <v>289</v>
      </c>
      <c r="B102" s="12" t="s">
        <v>290</v>
      </c>
      <c r="C102" s="16">
        <v>9</v>
      </c>
      <c r="D102" s="4" t="s">
        <v>181</v>
      </c>
    </row>
    <row r="103" spans="1:4">
      <c r="A103" s="14" t="s">
        <v>289</v>
      </c>
      <c r="B103" s="12" t="s">
        <v>290</v>
      </c>
      <c r="C103" s="16">
        <v>10</v>
      </c>
      <c r="D103" s="4" t="s">
        <v>127</v>
      </c>
    </row>
    <row r="104" spans="1:4">
      <c r="A104" s="14" t="s">
        <v>289</v>
      </c>
      <c r="B104" s="12" t="s">
        <v>290</v>
      </c>
      <c r="C104" s="16">
        <v>11</v>
      </c>
      <c r="D104" s="4" t="s">
        <v>400</v>
      </c>
    </row>
    <row r="105" spans="1:4">
      <c r="A105" s="14" t="s">
        <v>293</v>
      </c>
      <c r="B105" s="12" t="s">
        <v>294</v>
      </c>
      <c r="C105" s="16">
        <v>1</v>
      </c>
      <c r="D105" s="4" t="s">
        <v>337</v>
      </c>
    </row>
    <row r="106" spans="1:4">
      <c r="A106" s="14" t="s">
        <v>293</v>
      </c>
      <c r="B106" s="12" t="s">
        <v>294</v>
      </c>
      <c r="C106" s="16">
        <v>2</v>
      </c>
      <c r="D106" s="4" t="s">
        <v>336</v>
      </c>
    </row>
    <row r="107" spans="1:4">
      <c r="A107" s="14" t="s">
        <v>293</v>
      </c>
      <c r="B107" s="12" t="s">
        <v>294</v>
      </c>
      <c r="C107" s="16">
        <v>3</v>
      </c>
      <c r="D107" s="4" t="s">
        <v>338</v>
      </c>
    </row>
    <row r="108" spans="1:4">
      <c r="A108" s="14" t="s">
        <v>293</v>
      </c>
      <c r="B108" s="12" t="s">
        <v>294</v>
      </c>
      <c r="C108" s="16">
        <v>4</v>
      </c>
      <c r="D108" s="4" t="s">
        <v>340</v>
      </c>
    </row>
    <row r="109" spans="1:4">
      <c r="A109" s="14" t="s">
        <v>293</v>
      </c>
      <c r="B109" s="12" t="s">
        <v>294</v>
      </c>
      <c r="C109" s="16">
        <v>5</v>
      </c>
      <c r="D109" s="4" t="s">
        <v>341</v>
      </c>
    </row>
    <row r="110" spans="1:4">
      <c r="A110" s="14" t="s">
        <v>293</v>
      </c>
      <c r="B110" s="12" t="s">
        <v>294</v>
      </c>
      <c r="C110" s="16">
        <v>6</v>
      </c>
      <c r="D110" s="4" t="s">
        <v>94</v>
      </c>
    </row>
    <row r="111" spans="1:4">
      <c r="A111" s="14" t="s">
        <v>293</v>
      </c>
      <c r="B111" s="12" t="s">
        <v>294</v>
      </c>
      <c r="C111" s="16">
        <v>7</v>
      </c>
      <c r="D111" s="4" t="s">
        <v>95</v>
      </c>
    </row>
    <row r="112" spans="1:4">
      <c r="A112" s="14" t="s">
        <v>293</v>
      </c>
      <c r="B112" s="12" t="s">
        <v>294</v>
      </c>
      <c r="C112" s="16">
        <v>8</v>
      </c>
      <c r="D112" s="4" t="s">
        <v>103</v>
      </c>
    </row>
    <row r="113" spans="1:4">
      <c r="A113" s="14" t="s">
        <v>293</v>
      </c>
      <c r="B113" s="12" t="s">
        <v>294</v>
      </c>
      <c r="C113" s="16">
        <v>9</v>
      </c>
      <c r="D113" s="4" t="s">
        <v>343</v>
      </c>
    </row>
    <row r="114" spans="1:4">
      <c r="A114" s="14" t="s">
        <v>293</v>
      </c>
      <c r="B114" s="12" t="s">
        <v>294</v>
      </c>
      <c r="C114" s="16">
        <v>10</v>
      </c>
      <c r="D114" s="4" t="s">
        <v>344</v>
      </c>
    </row>
    <row r="115" spans="1:4">
      <c r="A115" s="14" t="s">
        <v>293</v>
      </c>
      <c r="B115" s="12" t="s">
        <v>294</v>
      </c>
      <c r="C115" s="16">
        <v>11</v>
      </c>
      <c r="D115" s="4" t="s">
        <v>345</v>
      </c>
    </row>
    <row r="116" spans="1:4">
      <c r="A116" s="14" t="s">
        <v>297</v>
      </c>
      <c r="B116" s="12" t="s">
        <v>298</v>
      </c>
      <c r="C116" s="16">
        <v>1</v>
      </c>
      <c r="D116" s="4" t="s">
        <v>216</v>
      </c>
    </row>
    <row r="117" spans="1:4">
      <c r="A117" s="14" t="s">
        <v>297</v>
      </c>
      <c r="B117" s="12" t="s">
        <v>298</v>
      </c>
      <c r="C117" s="16">
        <v>2</v>
      </c>
      <c r="D117" s="4" t="s">
        <v>217</v>
      </c>
    </row>
    <row r="118" spans="1:4">
      <c r="A118" s="14" t="s">
        <v>297</v>
      </c>
      <c r="B118" s="12" t="s">
        <v>298</v>
      </c>
      <c r="C118" s="16">
        <v>3</v>
      </c>
      <c r="D118" s="4" t="s">
        <v>218</v>
      </c>
    </row>
    <row r="119" spans="1:4">
      <c r="A119" s="14" t="s">
        <v>297</v>
      </c>
      <c r="B119" s="12" t="s">
        <v>298</v>
      </c>
      <c r="C119" s="16">
        <v>4</v>
      </c>
      <c r="D119" s="4" t="s">
        <v>219</v>
      </c>
    </row>
    <row r="120" spans="1:4">
      <c r="A120" s="14" t="s">
        <v>297</v>
      </c>
      <c r="B120" s="12" t="s">
        <v>298</v>
      </c>
      <c r="C120" s="16">
        <v>5</v>
      </c>
      <c r="D120" s="4" t="s">
        <v>220</v>
      </c>
    </row>
    <row r="121" spans="1:4">
      <c r="A121" s="14" t="s">
        <v>297</v>
      </c>
      <c r="B121" s="12" t="s">
        <v>298</v>
      </c>
      <c r="C121" s="16">
        <v>6</v>
      </c>
      <c r="D121" s="4" t="s">
        <v>221</v>
      </c>
    </row>
    <row r="122" spans="1:4">
      <c r="A122" s="14" t="s">
        <v>297</v>
      </c>
      <c r="B122" s="12" t="s">
        <v>298</v>
      </c>
      <c r="C122" s="16">
        <v>7</v>
      </c>
      <c r="D122" s="4" t="s">
        <v>225</v>
      </c>
    </row>
    <row r="123" spans="1:4">
      <c r="A123" s="14" t="s">
        <v>297</v>
      </c>
      <c r="B123" s="12" t="s">
        <v>298</v>
      </c>
      <c r="C123" s="16">
        <v>8</v>
      </c>
      <c r="D123" s="4" t="s">
        <v>226</v>
      </c>
    </row>
    <row r="124" spans="1:4">
      <c r="A124" s="14" t="s">
        <v>297</v>
      </c>
      <c r="B124" s="12" t="s">
        <v>298</v>
      </c>
      <c r="C124" s="16">
        <v>9</v>
      </c>
      <c r="D124" s="4" t="s">
        <v>227</v>
      </c>
    </row>
    <row r="125" spans="1:4">
      <c r="A125" s="14" t="s">
        <v>297</v>
      </c>
      <c r="B125" s="12" t="s">
        <v>298</v>
      </c>
      <c r="C125" s="16">
        <v>10</v>
      </c>
      <c r="D125" s="4" t="s">
        <v>222</v>
      </c>
    </row>
    <row r="126" spans="1:4">
      <c r="A126" s="14" t="s">
        <v>297</v>
      </c>
      <c r="B126" s="12" t="s">
        <v>298</v>
      </c>
      <c r="C126" s="16">
        <v>11</v>
      </c>
      <c r="D126" s="4" t="s">
        <v>223</v>
      </c>
    </row>
    <row r="127" spans="1:4">
      <c r="A127" s="14" t="s">
        <v>297</v>
      </c>
      <c r="B127" s="12" t="s">
        <v>298</v>
      </c>
      <c r="C127" s="16">
        <v>12</v>
      </c>
      <c r="D127" s="4" t="s">
        <v>224</v>
      </c>
    </row>
    <row r="128" spans="1:4">
      <c r="A128" s="14" t="s">
        <v>297</v>
      </c>
      <c r="B128" s="12" t="s">
        <v>298</v>
      </c>
      <c r="C128" s="16">
        <v>13</v>
      </c>
      <c r="D128" s="4" t="s">
        <v>230</v>
      </c>
    </row>
    <row r="129" spans="1:4">
      <c r="A129" s="14" t="s">
        <v>297</v>
      </c>
      <c r="B129" s="12" t="s">
        <v>298</v>
      </c>
      <c r="C129" s="16">
        <v>14</v>
      </c>
      <c r="D129" s="4" t="s">
        <v>229</v>
      </c>
    </row>
    <row r="130" spans="1:4">
      <c r="A130" s="14" t="s">
        <v>297</v>
      </c>
      <c r="B130" s="12" t="s">
        <v>298</v>
      </c>
      <c r="C130" s="16">
        <v>15</v>
      </c>
      <c r="D130" s="4" t="s">
        <v>232</v>
      </c>
    </row>
    <row r="131" spans="1:4">
      <c r="A131" s="14" t="s">
        <v>297</v>
      </c>
      <c r="B131" s="12" t="s">
        <v>298</v>
      </c>
      <c r="C131" s="16">
        <v>16</v>
      </c>
      <c r="D131" s="4" t="s">
        <v>231</v>
      </c>
    </row>
    <row r="132" spans="1:4">
      <c r="A132" s="14" t="s">
        <v>301</v>
      </c>
      <c r="B132" s="12" t="s">
        <v>302</v>
      </c>
      <c r="C132" s="16">
        <v>1</v>
      </c>
      <c r="D132" s="4" t="s">
        <v>352</v>
      </c>
    </row>
    <row r="133" spans="1:4">
      <c r="A133" s="14" t="s">
        <v>301</v>
      </c>
      <c r="B133" s="12" t="s">
        <v>302</v>
      </c>
      <c r="C133" s="16">
        <v>2</v>
      </c>
      <c r="D133" s="4" t="s">
        <v>401</v>
      </c>
    </row>
    <row r="134" spans="1:4">
      <c r="A134" s="14" t="s">
        <v>301</v>
      </c>
      <c r="B134" s="12" t="s">
        <v>302</v>
      </c>
      <c r="C134" s="16">
        <v>3</v>
      </c>
      <c r="D134" s="4" t="s">
        <v>353</v>
      </c>
    </row>
    <row r="135" spans="1:4">
      <c r="A135" s="14" t="s">
        <v>301</v>
      </c>
      <c r="B135" s="12" t="s">
        <v>302</v>
      </c>
      <c r="C135" s="16">
        <v>4</v>
      </c>
      <c r="D135" s="4" t="s">
        <v>402</v>
      </c>
    </row>
    <row r="136" spans="1:4">
      <c r="A136" s="14" t="s">
        <v>301</v>
      </c>
      <c r="B136" s="12" t="s">
        <v>302</v>
      </c>
      <c r="C136" s="16">
        <v>5</v>
      </c>
      <c r="D136" s="4" t="s">
        <v>403</v>
      </c>
    </row>
    <row r="137" spans="1:4">
      <c r="A137" s="14" t="s">
        <v>301</v>
      </c>
      <c r="B137" s="12" t="s">
        <v>302</v>
      </c>
      <c r="C137" s="16">
        <v>6</v>
      </c>
      <c r="D137" s="4" t="s">
        <v>404</v>
      </c>
    </row>
    <row r="138" spans="1:4">
      <c r="A138" s="14" t="s">
        <v>301</v>
      </c>
      <c r="B138" s="12" t="s">
        <v>302</v>
      </c>
      <c r="C138" s="16">
        <v>7</v>
      </c>
      <c r="D138" s="4" t="s">
        <v>405</v>
      </c>
    </row>
    <row r="139" spans="1:4">
      <c r="A139" s="14" t="s">
        <v>301</v>
      </c>
      <c r="B139" s="12" t="s">
        <v>302</v>
      </c>
      <c r="C139" s="16">
        <v>8</v>
      </c>
      <c r="D139" s="4" t="s">
        <v>406</v>
      </c>
    </row>
    <row r="140" spans="1:4">
      <c r="A140" s="14" t="s">
        <v>301</v>
      </c>
      <c r="B140" s="12" t="s">
        <v>302</v>
      </c>
      <c r="C140" s="16">
        <v>9</v>
      </c>
      <c r="D140" s="4" t="s">
        <v>407</v>
      </c>
    </row>
    <row r="141" spans="1:4">
      <c r="A141" s="14" t="s">
        <v>301</v>
      </c>
      <c r="B141" s="12" t="s">
        <v>302</v>
      </c>
      <c r="C141" s="16">
        <v>10</v>
      </c>
      <c r="D141" s="4" t="s">
        <v>408</v>
      </c>
    </row>
    <row r="142" spans="1:4">
      <c r="A142" s="14" t="s">
        <v>301</v>
      </c>
      <c r="B142" s="12" t="s">
        <v>302</v>
      </c>
      <c r="C142" s="16">
        <v>11</v>
      </c>
      <c r="D142" s="4" t="s">
        <v>350</v>
      </c>
    </row>
    <row r="143" spans="1:4">
      <c r="A143" s="14" t="s">
        <v>301</v>
      </c>
      <c r="B143" s="12" t="s">
        <v>302</v>
      </c>
      <c r="C143" s="16">
        <v>12</v>
      </c>
      <c r="D143" s="4" t="s">
        <v>349</v>
      </c>
    </row>
    <row r="144" spans="1:4">
      <c r="A144" s="14" t="s">
        <v>301</v>
      </c>
      <c r="B144" s="12" t="s">
        <v>302</v>
      </c>
      <c r="C144" s="16">
        <v>13</v>
      </c>
      <c r="D144" s="4" t="s">
        <v>409</v>
      </c>
    </row>
    <row r="145" spans="1:4">
      <c r="A145" s="14" t="s">
        <v>305</v>
      </c>
      <c r="B145" s="12" t="s">
        <v>306</v>
      </c>
      <c r="C145" s="16">
        <v>1</v>
      </c>
      <c r="D145" s="4" t="s">
        <v>122</v>
      </c>
    </row>
    <row r="146" spans="1:4">
      <c r="A146" s="14" t="s">
        <v>305</v>
      </c>
      <c r="B146" s="12" t="s">
        <v>306</v>
      </c>
      <c r="C146" s="16">
        <v>2</v>
      </c>
      <c r="D146" s="4" t="s">
        <v>109</v>
      </c>
    </row>
    <row r="147" spans="1:4">
      <c r="A147" s="14" t="s">
        <v>305</v>
      </c>
      <c r="B147" s="12" t="s">
        <v>306</v>
      </c>
      <c r="C147" s="16">
        <v>3</v>
      </c>
      <c r="D147" s="4" t="s">
        <v>110</v>
      </c>
    </row>
    <row r="148" spans="1:4">
      <c r="A148" s="14" t="s">
        <v>305</v>
      </c>
      <c r="B148" s="12" t="s">
        <v>306</v>
      </c>
      <c r="C148" s="16">
        <v>4</v>
      </c>
      <c r="D148" s="4" t="s">
        <v>119</v>
      </c>
    </row>
    <row r="149" spans="1:4">
      <c r="A149" s="14" t="s">
        <v>305</v>
      </c>
      <c r="B149" s="12" t="s">
        <v>306</v>
      </c>
      <c r="C149" s="16">
        <v>5</v>
      </c>
      <c r="D149" s="4" t="s">
        <v>120</v>
      </c>
    </row>
    <row r="150" spans="1:4">
      <c r="A150" s="14" t="s">
        <v>305</v>
      </c>
      <c r="B150" s="12" t="s">
        <v>306</v>
      </c>
      <c r="C150" s="16">
        <v>6</v>
      </c>
      <c r="D150" s="4" t="s">
        <v>115</v>
      </c>
    </row>
    <row r="151" spans="1:4">
      <c r="A151" s="14" t="s">
        <v>305</v>
      </c>
      <c r="B151" s="12" t="s">
        <v>306</v>
      </c>
      <c r="C151" s="16">
        <v>7</v>
      </c>
      <c r="D151" s="4" t="s">
        <v>117</v>
      </c>
    </row>
    <row r="152" spans="1:4">
      <c r="A152" s="14" t="s">
        <v>305</v>
      </c>
      <c r="B152" s="12" t="s">
        <v>306</v>
      </c>
      <c r="C152" s="16">
        <v>8</v>
      </c>
      <c r="D152" s="4" t="s">
        <v>124</v>
      </c>
    </row>
    <row r="153" spans="1:4">
      <c r="A153" s="14" t="s">
        <v>305</v>
      </c>
      <c r="B153" s="12" t="s">
        <v>306</v>
      </c>
      <c r="C153" s="16">
        <v>9</v>
      </c>
      <c r="D153" s="4" t="s">
        <v>125</v>
      </c>
    </row>
    <row r="154" spans="1:4">
      <c r="A154" s="14" t="s">
        <v>305</v>
      </c>
      <c r="B154" s="12" t="s">
        <v>306</v>
      </c>
      <c r="C154" s="16">
        <v>10</v>
      </c>
      <c r="D154" s="4" t="s">
        <v>213</v>
      </c>
    </row>
    <row r="155" spans="1:4">
      <c r="A155" s="14" t="s">
        <v>305</v>
      </c>
      <c r="B155" s="12" t="s">
        <v>306</v>
      </c>
      <c r="C155" s="16">
        <v>11</v>
      </c>
      <c r="D155" s="4" t="s">
        <v>126</v>
      </c>
    </row>
    <row r="156" spans="1:4">
      <c r="A156" s="14" t="s">
        <v>305</v>
      </c>
      <c r="B156" s="12" t="s">
        <v>306</v>
      </c>
      <c r="C156" s="16">
        <v>12</v>
      </c>
      <c r="D156" s="4" t="s">
        <v>410</v>
      </c>
    </row>
    <row r="157" spans="1:4">
      <c r="A157" s="14" t="s">
        <v>305</v>
      </c>
      <c r="B157" s="12" t="s">
        <v>306</v>
      </c>
      <c r="C157" s="16">
        <v>13</v>
      </c>
      <c r="D157" s="4" t="s">
        <v>411</v>
      </c>
    </row>
    <row r="158" spans="1:4">
      <c r="A158" s="14" t="s">
        <v>305</v>
      </c>
      <c r="B158" s="12" t="s">
        <v>306</v>
      </c>
      <c r="C158" s="16">
        <v>14</v>
      </c>
      <c r="D158" s="4" t="s">
        <v>350</v>
      </c>
    </row>
    <row r="159" spans="1:4">
      <c r="A159" s="14" t="s">
        <v>305</v>
      </c>
      <c r="B159" s="12" t="s">
        <v>306</v>
      </c>
      <c r="C159" s="16">
        <v>15</v>
      </c>
      <c r="D159" s="4" t="s">
        <v>127</v>
      </c>
    </row>
    <row r="160" spans="1:4">
      <c r="A160" s="14" t="s">
        <v>309</v>
      </c>
      <c r="B160" s="12" t="s">
        <v>310</v>
      </c>
      <c r="C160" s="16">
        <v>1</v>
      </c>
      <c r="D160" s="4" t="s">
        <v>359</v>
      </c>
    </row>
    <row r="161" spans="1:4">
      <c r="A161" s="14" t="s">
        <v>309</v>
      </c>
      <c r="B161" s="12" t="s">
        <v>310</v>
      </c>
      <c r="C161" s="16">
        <v>2</v>
      </c>
      <c r="D161" s="4" t="s">
        <v>360</v>
      </c>
    </row>
    <row r="162" spans="1:4">
      <c r="A162" s="14" t="s">
        <v>309</v>
      </c>
      <c r="B162" s="12" t="s">
        <v>310</v>
      </c>
      <c r="C162" s="16">
        <v>3</v>
      </c>
      <c r="D162" s="4" t="s">
        <v>412</v>
      </c>
    </row>
    <row r="163" spans="1:4">
      <c r="A163" s="14" t="s">
        <v>309</v>
      </c>
      <c r="B163" s="12" t="s">
        <v>310</v>
      </c>
      <c r="C163" s="16">
        <v>4</v>
      </c>
      <c r="D163" s="4" t="s">
        <v>413</v>
      </c>
    </row>
    <row r="164" spans="1:4">
      <c r="A164" s="14" t="s">
        <v>309</v>
      </c>
      <c r="B164" s="12" t="s">
        <v>310</v>
      </c>
      <c r="C164" s="16">
        <v>5</v>
      </c>
      <c r="D164" s="4" t="s">
        <v>124</v>
      </c>
    </row>
    <row r="165" spans="1:4">
      <c r="A165" s="14" t="s">
        <v>309</v>
      </c>
      <c r="B165" s="12" t="s">
        <v>310</v>
      </c>
      <c r="C165" s="16">
        <v>6</v>
      </c>
      <c r="D165" s="4" t="s">
        <v>125</v>
      </c>
    </row>
    <row r="166" spans="1:4">
      <c r="A166" s="14" t="s">
        <v>309</v>
      </c>
      <c r="B166" s="12" t="s">
        <v>310</v>
      </c>
      <c r="C166" s="16">
        <v>7</v>
      </c>
      <c r="D166" s="4" t="s">
        <v>126</v>
      </c>
    </row>
    <row r="167" spans="1:4">
      <c r="A167" s="14" t="s">
        <v>309</v>
      </c>
      <c r="B167" s="12" t="s">
        <v>310</v>
      </c>
      <c r="C167" s="16">
        <v>8</v>
      </c>
      <c r="D167" s="4" t="s">
        <v>213</v>
      </c>
    </row>
    <row r="168" spans="1:4">
      <c r="A168" s="14" t="s">
        <v>309</v>
      </c>
      <c r="B168" s="12" t="s">
        <v>310</v>
      </c>
      <c r="C168" s="16">
        <v>9</v>
      </c>
      <c r="D168" s="4" t="s">
        <v>122</v>
      </c>
    </row>
    <row r="169" spans="1:4">
      <c r="A169" s="14" t="s">
        <v>309</v>
      </c>
      <c r="B169" s="12" t="s">
        <v>310</v>
      </c>
      <c r="C169" s="16">
        <v>10</v>
      </c>
      <c r="D169" s="4" t="s">
        <v>117</v>
      </c>
    </row>
    <row r="170" spans="1:4">
      <c r="A170" s="14" t="s">
        <v>309</v>
      </c>
      <c r="B170" s="12" t="s">
        <v>310</v>
      </c>
      <c r="C170" s="16">
        <v>11</v>
      </c>
      <c r="D170" s="4" t="s">
        <v>115</v>
      </c>
    </row>
    <row r="171" spans="1:4">
      <c r="A171" s="14" t="s">
        <v>309</v>
      </c>
      <c r="B171" s="12" t="s">
        <v>310</v>
      </c>
      <c r="C171" s="16">
        <v>12</v>
      </c>
      <c r="D171" s="4" t="s">
        <v>118</v>
      </c>
    </row>
    <row r="172" spans="1:4">
      <c r="A172" s="14" t="s">
        <v>309</v>
      </c>
      <c r="B172" s="12" t="s">
        <v>310</v>
      </c>
      <c r="C172" s="16">
        <v>13</v>
      </c>
      <c r="D172" s="4" t="s">
        <v>142</v>
      </c>
    </row>
    <row r="173" spans="1:4">
      <c r="A173" s="14" t="s">
        <v>309</v>
      </c>
      <c r="B173" s="12" t="s">
        <v>310</v>
      </c>
      <c r="C173" s="16">
        <v>14</v>
      </c>
      <c r="D173" s="4" t="s">
        <v>141</v>
      </c>
    </row>
    <row r="174" spans="1:4">
      <c r="A174" s="14" t="s">
        <v>313</v>
      </c>
      <c r="B174" s="12" t="s">
        <v>314</v>
      </c>
      <c r="C174" s="16">
        <v>1</v>
      </c>
      <c r="D174" s="4" t="s">
        <v>409</v>
      </c>
    </row>
    <row r="175" spans="1:4">
      <c r="A175" s="14" t="s">
        <v>313</v>
      </c>
      <c r="B175" s="12" t="s">
        <v>314</v>
      </c>
      <c r="C175" s="16">
        <v>2</v>
      </c>
      <c r="D175" s="4" t="s">
        <v>349</v>
      </c>
    </row>
    <row r="176" spans="1:4">
      <c r="A176" s="14" t="s">
        <v>313</v>
      </c>
      <c r="B176" s="12" t="s">
        <v>314</v>
      </c>
      <c r="C176" s="16">
        <v>3</v>
      </c>
      <c r="D176" s="4" t="s">
        <v>350</v>
      </c>
    </row>
    <row r="177" spans="1:4">
      <c r="A177" s="14" t="s">
        <v>313</v>
      </c>
      <c r="B177" s="12" t="s">
        <v>314</v>
      </c>
      <c r="C177" s="16">
        <v>4</v>
      </c>
      <c r="D177" s="4" t="s">
        <v>414</v>
      </c>
    </row>
    <row r="178" spans="1:4">
      <c r="A178" s="14" t="s">
        <v>313</v>
      </c>
      <c r="B178" s="12" t="s">
        <v>314</v>
      </c>
      <c r="C178" s="16">
        <v>5</v>
      </c>
      <c r="D178" s="4" t="s">
        <v>352</v>
      </c>
    </row>
    <row r="179" spans="1:4">
      <c r="A179" s="14" t="s">
        <v>313</v>
      </c>
      <c r="B179" s="12" t="s">
        <v>314</v>
      </c>
      <c r="C179" s="16">
        <v>6</v>
      </c>
      <c r="D179" s="4" t="s">
        <v>401</v>
      </c>
    </row>
    <row r="180" spans="1:4">
      <c r="A180" s="14" t="s">
        <v>313</v>
      </c>
      <c r="B180" s="12" t="s">
        <v>314</v>
      </c>
      <c r="C180" s="16">
        <v>7</v>
      </c>
      <c r="D180" s="4" t="s">
        <v>405</v>
      </c>
    </row>
    <row r="181" spans="1:4">
      <c r="A181" s="14" t="s">
        <v>313</v>
      </c>
      <c r="B181" s="12" t="s">
        <v>314</v>
      </c>
      <c r="C181" s="16">
        <v>8</v>
      </c>
      <c r="D181" s="4" t="s">
        <v>415</v>
      </c>
    </row>
    <row r="182" spans="1:4">
      <c r="A182" s="14" t="s">
        <v>313</v>
      </c>
      <c r="B182" s="12" t="s">
        <v>314</v>
      </c>
      <c r="C182" s="16">
        <v>9</v>
      </c>
      <c r="D182" s="4" t="s">
        <v>99</v>
      </c>
    </row>
    <row r="183" spans="1:4">
      <c r="A183" s="14" t="s">
        <v>313</v>
      </c>
      <c r="B183" s="12" t="s">
        <v>314</v>
      </c>
      <c r="C183" s="16">
        <v>10</v>
      </c>
      <c r="D183" s="4" t="s">
        <v>347</v>
      </c>
    </row>
    <row r="184" spans="1:4">
      <c r="A184" s="14" t="s">
        <v>313</v>
      </c>
      <c r="B184" s="12" t="s">
        <v>314</v>
      </c>
      <c r="C184" s="16">
        <v>11</v>
      </c>
      <c r="D184" s="4" t="s">
        <v>416</v>
      </c>
    </row>
    <row r="185" spans="1:4">
      <c r="A185" s="14" t="s">
        <v>317</v>
      </c>
      <c r="B185" s="12" t="s">
        <v>318</v>
      </c>
      <c r="C185" s="16">
        <v>1</v>
      </c>
      <c r="D185" s="4" t="s">
        <v>347</v>
      </c>
    </row>
    <row r="186" spans="1:4">
      <c r="A186" s="14" t="s">
        <v>317</v>
      </c>
      <c r="B186" s="12" t="s">
        <v>318</v>
      </c>
      <c r="C186" s="16">
        <v>2</v>
      </c>
      <c r="D186" s="4" t="s">
        <v>378</v>
      </c>
    </row>
    <row r="187" spans="1:4">
      <c r="A187" s="14" t="s">
        <v>317</v>
      </c>
      <c r="B187" s="12" t="s">
        <v>318</v>
      </c>
      <c r="C187" s="16">
        <v>3</v>
      </c>
      <c r="D187" s="4" t="s">
        <v>416</v>
      </c>
    </row>
    <row r="188" spans="1:4">
      <c r="A188" s="14" t="s">
        <v>317</v>
      </c>
      <c r="B188" s="12" t="s">
        <v>318</v>
      </c>
      <c r="C188" s="16">
        <v>4</v>
      </c>
      <c r="D188" s="4" t="s">
        <v>108</v>
      </c>
    </row>
    <row r="189" spans="1:4">
      <c r="A189" s="14" t="s">
        <v>317</v>
      </c>
      <c r="B189" s="12" t="s">
        <v>318</v>
      </c>
      <c r="C189" s="16">
        <v>5</v>
      </c>
      <c r="D189" s="4" t="s">
        <v>417</v>
      </c>
    </row>
    <row r="190" spans="1:4">
      <c r="A190" s="14" t="s">
        <v>317</v>
      </c>
      <c r="B190" s="12" t="s">
        <v>318</v>
      </c>
      <c r="C190" s="16">
        <v>6</v>
      </c>
      <c r="D190" s="4" t="s">
        <v>410</v>
      </c>
    </row>
    <row r="191" spans="1:4">
      <c r="A191" s="14" t="s">
        <v>317</v>
      </c>
      <c r="B191" s="12" t="s">
        <v>318</v>
      </c>
      <c r="C191" s="16">
        <v>7</v>
      </c>
      <c r="D191" s="4" t="s">
        <v>409</v>
      </c>
    </row>
    <row r="192" spans="1:4">
      <c r="A192" s="14" t="s">
        <v>317</v>
      </c>
      <c r="B192" s="12" t="s">
        <v>318</v>
      </c>
      <c r="C192" s="16">
        <v>8</v>
      </c>
      <c r="D192" s="4" t="s">
        <v>418</v>
      </c>
    </row>
    <row r="193" spans="1:4">
      <c r="A193" s="14" t="s">
        <v>317</v>
      </c>
      <c r="B193" s="12" t="s">
        <v>318</v>
      </c>
      <c r="C193" s="16">
        <v>9</v>
      </c>
      <c r="D193" s="4" t="s">
        <v>374</v>
      </c>
    </row>
    <row r="194" spans="1:4">
      <c r="A194" s="14" t="s">
        <v>317</v>
      </c>
      <c r="B194" s="12" t="s">
        <v>318</v>
      </c>
      <c r="C194" s="16">
        <v>10</v>
      </c>
      <c r="D194" s="4" t="s">
        <v>371</v>
      </c>
    </row>
    <row r="195" spans="1:4">
      <c r="A195" s="14" t="s">
        <v>317</v>
      </c>
      <c r="B195" s="12" t="s">
        <v>318</v>
      </c>
      <c r="C195" s="16">
        <v>11</v>
      </c>
      <c r="D195" s="4" t="s">
        <v>372</v>
      </c>
    </row>
    <row r="196" spans="1:4">
      <c r="A196" s="14" t="s">
        <v>321</v>
      </c>
      <c r="B196" s="12" t="s">
        <v>322</v>
      </c>
      <c r="C196" s="16">
        <v>1</v>
      </c>
      <c r="D196" s="4" t="s">
        <v>400</v>
      </c>
    </row>
    <row r="197" spans="1:4">
      <c r="A197" s="14" t="s">
        <v>321</v>
      </c>
      <c r="B197" s="12" t="s">
        <v>322</v>
      </c>
      <c r="C197" s="16">
        <v>2</v>
      </c>
      <c r="D197" s="4" t="s">
        <v>202</v>
      </c>
    </row>
    <row r="198" spans="1:4">
      <c r="A198" s="14" t="s">
        <v>321</v>
      </c>
      <c r="B198" s="12" t="s">
        <v>322</v>
      </c>
      <c r="C198" s="16">
        <v>3</v>
      </c>
      <c r="D198" s="4" t="s">
        <v>160</v>
      </c>
    </row>
    <row r="199" spans="1:4">
      <c r="A199" s="14" t="s">
        <v>321</v>
      </c>
      <c r="B199" s="12" t="s">
        <v>322</v>
      </c>
      <c r="C199" s="16">
        <v>4</v>
      </c>
      <c r="D199" s="4" t="s">
        <v>94</v>
      </c>
    </row>
    <row r="200" spans="1:4">
      <c r="A200" s="14" t="s">
        <v>321</v>
      </c>
      <c r="B200" s="12" t="s">
        <v>322</v>
      </c>
      <c r="C200" s="16">
        <v>5</v>
      </c>
      <c r="D200" s="4" t="s">
        <v>395</v>
      </c>
    </row>
    <row r="201" spans="1:4">
      <c r="A201" s="14" t="s">
        <v>321</v>
      </c>
      <c r="B201" s="12" t="s">
        <v>322</v>
      </c>
      <c r="C201" s="16">
        <v>6</v>
      </c>
      <c r="D201" s="4" t="s">
        <v>193</v>
      </c>
    </row>
    <row r="202" spans="1:4">
      <c r="A202" s="14" t="s">
        <v>321</v>
      </c>
      <c r="B202" s="12" t="s">
        <v>322</v>
      </c>
      <c r="C202" s="16">
        <v>7</v>
      </c>
      <c r="D202" s="4" t="s">
        <v>194</v>
      </c>
    </row>
    <row r="203" spans="1:4">
      <c r="A203" s="14" t="s">
        <v>321</v>
      </c>
      <c r="B203" s="12" t="s">
        <v>322</v>
      </c>
      <c r="C203" s="16">
        <v>8</v>
      </c>
      <c r="D203" s="4" t="s">
        <v>95</v>
      </c>
    </row>
    <row r="204" spans="1:4">
      <c r="A204" s="14" t="s">
        <v>321</v>
      </c>
      <c r="B204" s="12" t="s">
        <v>322</v>
      </c>
      <c r="C204" s="16">
        <v>9</v>
      </c>
      <c r="D204" s="4" t="s">
        <v>105</v>
      </c>
    </row>
    <row r="205" spans="1:4">
      <c r="A205" s="14" t="s">
        <v>321</v>
      </c>
      <c r="B205" s="12" t="s">
        <v>322</v>
      </c>
      <c r="C205" s="16">
        <v>10</v>
      </c>
      <c r="D205" s="4" t="s">
        <v>364</v>
      </c>
    </row>
    <row r="206" spans="1:4">
      <c r="A206" s="14" t="s">
        <v>321</v>
      </c>
      <c r="B206" s="12" t="s">
        <v>322</v>
      </c>
      <c r="C206" s="16">
        <v>11</v>
      </c>
      <c r="D206" s="4" t="s">
        <v>197</v>
      </c>
    </row>
    <row r="207" spans="1:4">
      <c r="A207" s="14" t="s">
        <v>321</v>
      </c>
      <c r="B207" s="12" t="s">
        <v>322</v>
      </c>
      <c r="C207" s="16">
        <v>12</v>
      </c>
      <c r="D207" s="4" t="s">
        <v>122</v>
      </c>
    </row>
    <row r="208" spans="1:4">
      <c r="A208" s="14" t="s">
        <v>325</v>
      </c>
      <c r="B208" s="12" t="s">
        <v>326</v>
      </c>
      <c r="C208" s="16">
        <v>1</v>
      </c>
      <c r="D208" s="4" t="s">
        <v>211</v>
      </c>
    </row>
    <row r="209" spans="1:4">
      <c r="A209" s="14" t="s">
        <v>325</v>
      </c>
      <c r="B209" s="12" t="s">
        <v>326</v>
      </c>
      <c r="C209" s="16">
        <v>2</v>
      </c>
      <c r="D209" s="4" t="s">
        <v>419</v>
      </c>
    </row>
    <row r="210" spans="1:4">
      <c r="A210" s="14" t="s">
        <v>325</v>
      </c>
      <c r="B210" s="12" t="s">
        <v>326</v>
      </c>
      <c r="C210" s="16">
        <v>3</v>
      </c>
      <c r="D210" s="4" t="s">
        <v>420</v>
      </c>
    </row>
    <row r="211" spans="1:4">
      <c r="A211" s="14" t="s">
        <v>325</v>
      </c>
      <c r="B211" s="12" t="s">
        <v>326</v>
      </c>
      <c r="C211" s="16">
        <v>4</v>
      </c>
      <c r="D211" s="4" t="s">
        <v>421</v>
      </c>
    </row>
    <row r="212" spans="1:4">
      <c r="A212" s="14" t="s">
        <v>325</v>
      </c>
      <c r="B212" s="12" t="s">
        <v>326</v>
      </c>
      <c r="C212" s="16">
        <v>5</v>
      </c>
      <c r="D212" s="4" t="s">
        <v>366</v>
      </c>
    </row>
    <row r="213" spans="1:4">
      <c r="A213" s="14" t="s">
        <v>325</v>
      </c>
      <c r="B213" s="12" t="s">
        <v>326</v>
      </c>
      <c r="C213" s="16">
        <v>6</v>
      </c>
      <c r="D213" s="4" t="s">
        <v>409</v>
      </c>
    </row>
    <row r="214" spans="1:4">
      <c r="A214" s="14" t="s">
        <v>325</v>
      </c>
      <c r="B214" s="12" t="s">
        <v>326</v>
      </c>
      <c r="C214" s="16">
        <v>7</v>
      </c>
      <c r="D214" s="4" t="s">
        <v>422</v>
      </c>
    </row>
    <row r="215" spans="1:4">
      <c r="A215" s="14" t="s">
        <v>325</v>
      </c>
      <c r="B215" s="12" t="s">
        <v>326</v>
      </c>
      <c r="C215" s="16">
        <v>8</v>
      </c>
      <c r="D215" s="4" t="s">
        <v>423</v>
      </c>
    </row>
    <row r="216" spans="1:4">
      <c r="A216" s="14" t="s">
        <v>325</v>
      </c>
      <c r="B216" s="12" t="s">
        <v>326</v>
      </c>
      <c r="C216" s="16">
        <v>9</v>
      </c>
      <c r="D216" s="4" t="s">
        <v>181</v>
      </c>
    </row>
    <row r="217" spans="1:4">
      <c r="A217" s="14" t="s">
        <v>325</v>
      </c>
      <c r="B217" s="12" t="s">
        <v>326</v>
      </c>
      <c r="C217" s="16">
        <v>10</v>
      </c>
      <c r="D217" s="4" t="s">
        <v>424</v>
      </c>
    </row>
    <row r="218" spans="1:4">
      <c r="A218" s="14" t="s">
        <v>325</v>
      </c>
      <c r="B218" s="12" t="s">
        <v>326</v>
      </c>
      <c r="C218" s="16">
        <v>11</v>
      </c>
      <c r="D218" s="4" t="s">
        <v>355</v>
      </c>
    </row>
    <row r="219" spans="1:4">
      <c r="A219" s="14" t="s">
        <v>329</v>
      </c>
      <c r="B219" s="12" t="s">
        <v>330</v>
      </c>
      <c r="C219" s="16">
        <v>1</v>
      </c>
      <c r="D219" s="4" t="s">
        <v>371</v>
      </c>
    </row>
    <row r="220" spans="1:4">
      <c r="A220" s="14" t="s">
        <v>329</v>
      </c>
      <c r="B220" s="12" t="s">
        <v>330</v>
      </c>
      <c r="C220" s="16">
        <v>2</v>
      </c>
      <c r="D220" s="4" t="s">
        <v>372</v>
      </c>
    </row>
    <row r="221" spans="1:4">
      <c r="A221" s="14" t="s">
        <v>329</v>
      </c>
      <c r="B221" s="12" t="s">
        <v>330</v>
      </c>
      <c r="C221" s="16">
        <v>3</v>
      </c>
      <c r="D221" s="4" t="s">
        <v>373</v>
      </c>
    </row>
    <row r="222" spans="1:4">
      <c r="A222" s="14" t="s">
        <v>329</v>
      </c>
      <c r="B222" s="12" t="s">
        <v>330</v>
      </c>
      <c r="C222" s="16">
        <v>4</v>
      </c>
      <c r="D222" s="4" t="s">
        <v>374</v>
      </c>
    </row>
    <row r="223" spans="1:4">
      <c r="A223" s="14" t="s">
        <v>329</v>
      </c>
      <c r="B223" s="12" t="s">
        <v>330</v>
      </c>
      <c r="C223" s="16">
        <v>5</v>
      </c>
      <c r="D223" s="4" t="s">
        <v>377</v>
      </c>
    </row>
    <row r="224" spans="1:4">
      <c r="A224" s="14" t="s">
        <v>329</v>
      </c>
      <c r="B224" s="12" t="s">
        <v>330</v>
      </c>
      <c r="C224" s="16">
        <v>6</v>
      </c>
      <c r="D224" s="4" t="s">
        <v>381</v>
      </c>
    </row>
    <row r="225" spans="1:4">
      <c r="A225" s="14" t="s">
        <v>329</v>
      </c>
      <c r="B225" s="12" t="s">
        <v>330</v>
      </c>
      <c r="C225" s="16">
        <v>7</v>
      </c>
      <c r="D225" s="4" t="s">
        <v>382</v>
      </c>
    </row>
    <row r="226" spans="1:4">
      <c r="A226" s="14" t="s">
        <v>329</v>
      </c>
      <c r="B226" s="12" t="s">
        <v>330</v>
      </c>
      <c r="C226" s="16">
        <v>8</v>
      </c>
      <c r="D226" s="4" t="s">
        <v>352</v>
      </c>
    </row>
    <row r="227" spans="1:4">
      <c r="A227" s="14" t="s">
        <v>329</v>
      </c>
      <c r="B227" s="12" t="s">
        <v>330</v>
      </c>
      <c r="C227" s="16">
        <v>9</v>
      </c>
      <c r="D227" s="4" t="s">
        <v>401</v>
      </c>
    </row>
    <row r="228" spans="1:4">
      <c r="A228" s="14" t="s">
        <v>329</v>
      </c>
      <c r="B228" s="12" t="s">
        <v>330</v>
      </c>
      <c r="C228" s="16">
        <v>10</v>
      </c>
      <c r="D228" s="4" t="s">
        <v>353</v>
      </c>
    </row>
    <row r="229" spans="1:4">
      <c r="A229" s="14" t="s">
        <v>329</v>
      </c>
      <c r="B229" s="12" t="s">
        <v>330</v>
      </c>
      <c r="C229" s="16">
        <v>11</v>
      </c>
      <c r="D229" s="4" t="s">
        <v>402</v>
      </c>
    </row>
    <row r="230" spans="1:4">
      <c r="A230" s="14" t="s">
        <v>329</v>
      </c>
      <c r="B230" s="12" t="s">
        <v>330</v>
      </c>
      <c r="C230" s="16">
        <v>12</v>
      </c>
      <c r="D230" s="4" t="s">
        <v>405</v>
      </c>
    </row>
    <row r="231" spans="1:4">
      <c r="A231" s="14" t="s">
        <v>329</v>
      </c>
      <c r="B231" s="12" t="s">
        <v>330</v>
      </c>
      <c r="C231" s="16">
        <v>13</v>
      </c>
      <c r="D231" s="4" t="s">
        <v>400</v>
      </c>
    </row>
    <row r="232" spans="1:4">
      <c r="A232" s="14" t="s">
        <v>329</v>
      </c>
      <c r="B232" s="12" t="s">
        <v>330</v>
      </c>
      <c r="C232" s="16">
        <v>14</v>
      </c>
      <c r="D232" s="4" t="s">
        <v>396</v>
      </c>
    </row>
    <row r="233" spans="1:4">
      <c r="A233" s="14" t="s">
        <v>333</v>
      </c>
      <c r="B233" s="12" t="s">
        <v>334</v>
      </c>
      <c r="C233" s="16">
        <v>1</v>
      </c>
      <c r="D233" s="4" t="s">
        <v>237</v>
      </c>
    </row>
    <row r="234" spans="1:4">
      <c r="A234" s="14" t="s">
        <v>333</v>
      </c>
      <c r="B234" s="12" t="s">
        <v>334</v>
      </c>
      <c r="C234" s="16">
        <v>2</v>
      </c>
      <c r="D234" s="4" t="s">
        <v>238</v>
      </c>
    </row>
    <row r="235" spans="1:4">
      <c r="A235" s="14" t="s">
        <v>333</v>
      </c>
      <c r="B235" s="12" t="s">
        <v>334</v>
      </c>
      <c r="C235" s="16">
        <v>3</v>
      </c>
      <c r="D235" s="4" t="s">
        <v>239</v>
      </c>
    </row>
    <row r="236" spans="1:4">
      <c r="A236" s="14" t="s">
        <v>333</v>
      </c>
      <c r="B236" s="12" t="s">
        <v>334</v>
      </c>
      <c r="C236" s="16">
        <v>4</v>
      </c>
      <c r="D236" s="4" t="s">
        <v>240</v>
      </c>
    </row>
    <row r="237" spans="1:4">
      <c r="A237" s="14" t="s">
        <v>333</v>
      </c>
      <c r="B237" s="12" t="s">
        <v>334</v>
      </c>
      <c r="C237" s="16">
        <v>5</v>
      </c>
      <c r="D237" s="4" t="s">
        <v>241</v>
      </c>
    </row>
    <row r="238" spans="1:4">
      <c r="A238" s="14" t="s">
        <v>333</v>
      </c>
      <c r="B238" s="12" t="s">
        <v>334</v>
      </c>
      <c r="C238" s="16">
        <v>6</v>
      </c>
      <c r="D238" s="4" t="s">
        <v>242</v>
      </c>
    </row>
    <row r="239" spans="1:4">
      <c r="A239" s="14" t="s">
        <v>333</v>
      </c>
      <c r="B239" s="12" t="s">
        <v>334</v>
      </c>
      <c r="C239" s="16">
        <v>7</v>
      </c>
      <c r="D239" s="4" t="s">
        <v>243</v>
      </c>
    </row>
    <row r="240" spans="1:4">
      <c r="A240" s="14" t="s">
        <v>333</v>
      </c>
      <c r="B240" s="12" t="s">
        <v>334</v>
      </c>
      <c r="C240" s="16">
        <v>8</v>
      </c>
      <c r="D240" s="4" t="s">
        <v>244</v>
      </c>
    </row>
    <row r="241" spans="1:4">
      <c r="A241" s="14" t="s">
        <v>333</v>
      </c>
      <c r="B241" s="12" t="s">
        <v>334</v>
      </c>
      <c r="C241" s="16">
        <v>9</v>
      </c>
      <c r="D241" s="4" t="s">
        <v>245</v>
      </c>
    </row>
    <row r="242" spans="1:4">
      <c r="A242" s="14" t="s">
        <v>333</v>
      </c>
      <c r="B242" s="12" t="s">
        <v>334</v>
      </c>
      <c r="C242" s="16">
        <v>10</v>
      </c>
      <c r="D242" s="4" t="s">
        <v>246</v>
      </c>
    </row>
    <row r="243" spans="1:4">
      <c r="A243" s="14" t="s">
        <v>333</v>
      </c>
      <c r="B243" s="12" t="s">
        <v>334</v>
      </c>
      <c r="C243" s="16">
        <v>11</v>
      </c>
      <c r="D243" s="4" t="s">
        <v>247</v>
      </c>
    </row>
    <row r="244" spans="1:4">
      <c r="A244" s="14" t="s">
        <v>333</v>
      </c>
      <c r="B244" s="12" t="s">
        <v>334</v>
      </c>
      <c r="C244" s="16">
        <v>12</v>
      </c>
      <c r="D244" s="4" t="s">
        <v>248</v>
      </c>
    </row>
    <row r="245" spans="1:4">
      <c r="A245" s="14" t="s">
        <v>333</v>
      </c>
      <c r="B245" s="12" t="s">
        <v>334</v>
      </c>
      <c r="C245" s="16">
        <v>13</v>
      </c>
      <c r="D245" s="4" t="s">
        <v>249</v>
      </c>
    </row>
    <row r="246" spans="1:4">
      <c r="A246" s="14" t="s">
        <v>333</v>
      </c>
      <c r="B246" s="12" t="s">
        <v>334</v>
      </c>
      <c r="C246" s="16">
        <v>14</v>
      </c>
      <c r="D246" s="4" t="s">
        <v>250</v>
      </c>
    </row>
    <row r="247" spans="1:4">
      <c r="A247" s="15" t="s">
        <v>333</v>
      </c>
      <c r="B247" s="13" t="s">
        <v>334</v>
      </c>
      <c r="C247" s="17">
        <v>15</v>
      </c>
      <c r="D247" s="6" t="s">
        <v>251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showGridLines="0" workbookViewId="0">
      <selection sqref="A1:D1"/>
    </sheetView>
  </sheetViews>
  <sheetFormatPr defaultRowHeight="13.8"/>
  <cols>
    <col min="1" max="1" width="38" customWidth="1"/>
    <col min="2" max="3" width="14" customWidth="1"/>
    <col min="4" max="4" width="80" customWidth="1"/>
  </cols>
  <sheetData>
    <row r="1" spans="1:4" ht="21">
      <c r="A1" s="30" t="s">
        <v>425</v>
      </c>
      <c r="B1" s="30"/>
      <c r="C1" s="30"/>
      <c r="D1" s="30"/>
    </row>
    <row r="3" spans="1:4">
      <c r="A3" s="1" t="s">
        <v>426</v>
      </c>
      <c r="B3" s="29" t="s">
        <v>427</v>
      </c>
      <c r="C3" s="29" t="s">
        <v>428</v>
      </c>
      <c r="D3" s="2" t="s">
        <v>429</v>
      </c>
    </row>
    <row r="4" spans="1:4">
      <c r="A4" s="3" t="s">
        <v>430</v>
      </c>
      <c r="B4" s="16" t="s">
        <v>431</v>
      </c>
      <c r="C4" s="16" t="s">
        <v>431</v>
      </c>
      <c r="D4" s="7" t="s">
        <v>432</v>
      </c>
    </row>
    <row r="5" spans="1:4">
      <c r="A5" s="3" t="s">
        <v>433</v>
      </c>
      <c r="B5" s="16">
        <v>17</v>
      </c>
      <c r="C5" s="16">
        <v>19</v>
      </c>
      <c r="D5" s="7" t="s">
        <v>434</v>
      </c>
    </row>
    <row r="6" spans="1:4">
      <c r="A6" s="3" t="s">
        <v>435</v>
      </c>
      <c r="B6" s="16">
        <v>241</v>
      </c>
      <c r="C6" s="16">
        <v>246</v>
      </c>
      <c r="D6" s="7" t="s">
        <v>436</v>
      </c>
    </row>
    <row r="7" spans="1:4">
      <c r="A7" s="3" t="s">
        <v>437</v>
      </c>
      <c r="B7" s="16">
        <v>166</v>
      </c>
      <c r="C7" s="16">
        <v>153</v>
      </c>
      <c r="D7" s="7" t="s">
        <v>438</v>
      </c>
    </row>
    <row r="8" spans="1:4">
      <c r="A8" s="3" t="s">
        <v>439</v>
      </c>
      <c r="B8" s="16">
        <v>0</v>
      </c>
      <c r="C8" s="16">
        <v>0</v>
      </c>
      <c r="D8" s="7" t="s">
        <v>440</v>
      </c>
    </row>
    <row r="9" spans="1:4">
      <c r="A9" s="3" t="s">
        <v>441</v>
      </c>
      <c r="B9" s="16" t="s">
        <v>431</v>
      </c>
      <c r="C9" s="16" t="s">
        <v>431</v>
      </c>
      <c r="D9" s="7" t="s">
        <v>442</v>
      </c>
    </row>
    <row r="10" spans="1:4">
      <c r="A10" s="5" t="s">
        <v>443</v>
      </c>
      <c r="B10" s="17"/>
      <c r="C10" s="17"/>
      <c r="D10" s="8" t="s">
        <v>444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Table S1 TCR modules</vt:lpstr>
      <vt:lpstr>TCR genes long</vt:lpstr>
      <vt:lpstr>Table S2 BCR modules</vt:lpstr>
      <vt:lpstr>BCR genes long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Gubatan</cp:lastModifiedBy>
  <dcterms:created xsi:type="dcterms:W3CDTF">2026-07-10T18:29:13Z</dcterms:created>
  <dcterms:modified xsi:type="dcterms:W3CDTF">2026-07-10T18:29:13Z</dcterms:modified>
</cp:coreProperties>
</file>